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28e9217b374d31" /></Relationships>
</file>

<file path=xl/workbook.xml><?xml version="1.0" encoding="utf-8"?>
<x:workbook xmlns:x="http://schemas.openxmlformats.org/spreadsheetml/2006/main">
  <x:sheets>
    <x:sheet xmlns:r="http://schemas.openxmlformats.org/officeDocument/2006/relationships" name="Gene dates" sheetId="1" r:id="R587654f031e847b9"/>
    <x:sheet xmlns:r="http://schemas.openxmlformats.org/officeDocument/2006/relationships" name="Article dates" sheetId="2" r:id="Rd810fe4716c846ab"/>
    <x:sheet xmlns:r="http://schemas.openxmlformats.org/officeDocument/2006/relationships" name="Earlier events" sheetId="3" r:id="R75afd0cfce06437b"/>
    <x:sheet xmlns:r="http://schemas.openxmlformats.org/officeDocument/2006/relationships" name="Definitions" sheetId="4" r:id="R83d11a84e3684ba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
  </x:numFmts>
  <x:fonts count="5">
    <x:font>
      <x:sz val="11"/>
      <x:name val="Carlito"/>
    </x:font>
    <x:font>
      <x:sz val="11"/>
      <x:color rgb="FF24364B"/>
      <x:name val="Arial"/>
    </x:font>
    <x:font>
      <x:b/>
      <x:sz val="16"/>
      <x:color rgb="FF24364B"/>
      <x:name val="Arial"/>
    </x:font>
    <x:font>
      <x:b/>
      <x:sz val="11"/>
      <x:color rgb="FFFFFFFF"/>
      <x:name val="Arial"/>
    </x:font>
    <x:font>
      <x:b/>
      <x:sz val="11"/>
      <x:color rgb="FF24364B"/>
      <x:name val="Arial"/>
    </x:font>
  </x:fonts>
  <x:fills count="3">
    <x:fill>
      <x:patternFill patternType="none"/>
    </x:fill>
    <x:fill>
      <x:patternFill patternType="gray125"/>
    </x:fill>
    <x:fill>
      <x:patternFill patternType="solid">
        <x:fgColor rgb="FF294C72"/>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dxfs count="2">
    <x:dxf>
      <x:font>
        <x:b/>
        <x:color rgb="FF7F5700"/>
      </x:font>
      <x:fill>
        <x:patternFill patternType="solid">
          <x:bgColor rgb="FFFFF2CC"/>
        </x:patternFill>
      </x:fill>
    </x:dxf>
    <x:dxf>
      <x:font>
        <x:b/>
        <x:color rgb="FF9C35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ff9ecb221d4f7c" /><Relationship Type="http://schemas.openxmlformats.org/officeDocument/2006/relationships/theme" Target="/xl/theme/theme1.xml" Id="Reb963017169944bc" /><Relationship Type="http://schemas.openxmlformats.org/officeDocument/2006/relationships/sharedStrings" Target="/xl/sharedStrings.xml" Id="R2088387ba9e042f4" /><Relationship Type="http://schemas.openxmlformats.org/officeDocument/2006/relationships/worksheet" Target="/xl/worksheets/sheet1.xml" Id="R587654f031e847b9" /><Relationship Type="http://schemas.openxmlformats.org/officeDocument/2006/relationships/worksheet" Target="/xl/worksheets/sheet2.xml" Id="Rd810fe4716c846ab" /><Relationship Type="http://schemas.openxmlformats.org/officeDocument/2006/relationships/worksheet" Target="/xl/worksheets/sheet3.xml" Id="R75afd0cfce06437b" /><Relationship Type="http://schemas.openxmlformats.org/officeDocument/2006/relationships/worksheet" Target="/xl/worksheets/sheet4.xml" Id="R83d11a84e3684bad" /></Relationships>
</file>

<file path=xl/tables/table1.xml><?xml version="1.0" encoding="utf-8"?>
<x:table xmlns:x="http://schemas.openxmlformats.org/spreadsheetml/2006/main" id="1" name="GenePublicationDates" displayName="GenePublicationDates" ref="A8:P53" headerRowCount="1" totalsRowCount="0" totalsRowShown="0">
  <x:tableColumns count="16">
    <x:tableColumn id="1" name="Gene"/>
    <x:tableColumn id="2" name="Why dates differ"/>
    <x:tableColumn id="3" name="Original list date (AI, provisional)"/>
    <x:tableColumn id="4" name="Professor returned date entry (preserved)"/>
    <x:tableColumn id="5" name="Source-supported first PUBLIC target date (blank if exact first day unresolved)"/>
    <x:tableColumn id="6" name="What the different dates mean"/>
    <x:tableColumn id="7" name="Dated public event independently located (may not be earliest)"/>
    <x:tableColumn id="8" name="Type of located public event"/>
    <x:tableColumn id="9" name="Journal-hosted target report first public date"/>
    <x:tableColumn id="10" name="Exact first-public-day status"/>
    <x:tableColumn id="11" name="Frozen uncertainty interval (preserved)"/>
    <x:tableColumn id="12" name="PMIDs in the supplied ZIP"/>
    <x:tableColumn id="13" name="First-target timing source"/>
    <x:tableColumn id="14" name="Professor date decision (preserved)"/>
    <x:tableColumn id="15" name="Professor eligibility decision (preserved)"/>
    <x:tableColumn id="16" name="Stable HGNC gene key"/>
  </x:tableColumns>
  <x:tableStyleInfo name="TableStyleMedium2" showFirstColumn="0" showLastColumn="0" showRowStripes="1" showColumnStripes="0"/>
</x:table>
</file>

<file path=xl/tables/table2.xml><?xml version="1.0" encoding="utf-8"?>
<x:table xmlns:x="http://schemas.openxmlformats.org/spreadsheetml/2006/main" id="2" name="SuppliedArticleDates" displayName="SuppliedArticleDates" ref="A6:R49" headerRowCount="1" totalsRowCount="0" totalsRowShown="0">
  <x:tableColumns count="18">
    <x:tableColumn id="1" name="Gene labels on ZIP files"/>
    <x:tableColumn id="2" name="PMID"/>
    <x:tableColumn id="3" name="Received / submitted (not public release)"/>
    <x:tableColumn id="4" name="Revised (not public release)"/>
    <x:tableColumn id="5" name="Accepted (not public release)"/>
    <x:tableColumn id="6" name="First public JOURNAL-hosted version"/>
    <x:tableColumn id="7" name="Type of that first public version"/>
    <x:tableColumn id="8" name="Later Version of Record date (only if separately verified)"/>
    <x:tableColumn id="9" name="PubMed Electronic date (retained even when later)"/>
    <x:tableColumn id="10" name="Issue date / period (source precision retained)"/>
    <x:tableColumn id="11" name="Issue date precision"/>
    <x:tableColumn id="12" name="Other public version / correction events"/>
    <x:tableColumn id="13" name="Explanation of source differences"/>
    <x:tableColumn id="14" name="Article title"/>
    <x:tableColumn id="15" name="DOI"/>
    <x:tableColumn id="16" name="Date-history pages in supplied PDF (auto-located)"/>
    <x:tableColumn id="17" name="Publication-date source and PubMed source"/>
    <x:tableColumn id="18" name="ZIP filenames (copies retained)"/>
  </x:tableColumns>
  <x:tableStyleInfo name="TableStyleMedium2" showFirstColumn="0" showLastColumn="0" showRowStripes="1" showColumnStripes="0"/>
</x:table>
</file>

<file path=xl/tables/table3.xml><?xml version="1.0" encoding="utf-8"?>
<x:table xmlns:x="http://schemas.openxmlformats.org/spreadsheetml/2006/main" id="3" name="EarlierPublicEvents" displayName="EarlierPublicEvents" ref="A5:G20" headerRowCount="1" totalsRowCount="0" totalsRowShown="0">
  <x:tableColumns count="7">
    <x:tableColumn id="1" name="Gene(s)"/>
    <x:tableColumn id="2" name="Event date / period"/>
    <x:tableColumn id="3" name="Date precision"/>
    <x:tableColumn id="4" name="Event type"/>
    <x:tableColumn id="5" name="What was verified"/>
    <x:tableColumn id="6" name="Limit / interpretation"/>
    <x:tableColumn id="7"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82369fc1dc480f" /></Relationships>
</file>

<file path=xl/worksheets/_rels/sheet2.xml.rels>&#65279;<?xml version="1.0" encoding="utf-8"?><Relationships xmlns="http://schemas.openxmlformats.org/package/2006/relationships"><Relationship Type="http://schemas.openxmlformats.org/officeDocument/2006/relationships/table" Target="/xl/tables/table2.xml" Id="Rb5f35fe8a3474336" /></Relationships>
</file>

<file path=xl/worksheets/_rels/sheet3.xml.rels>&#65279;<?xml version="1.0" encoding="utf-8"?><Relationships xmlns="http://schemas.openxmlformats.org/package/2006/relationships"><Relationship Type="http://schemas.openxmlformats.org/officeDocument/2006/relationships/table" Target="/xl/tables/table3.xml" Id="R95b95e3d61824dda" /></Relationships>
</file>

<file path=xl/worksheets/sheet1.xml><?xml version="1.0" encoding="utf-8"?>
<x:worksheet xmlns:x="http://schemas.openxmlformats.org/spreadsheetml/2006/main">
  <x:sheetPr>
    <x:tabColor rgb="FF294C72"/>
  </x:sheetPr>
  <x:sheetViews>
    <x:sheetView showGridLines="0" workbookViewId="0">
      <x:pane xSplit="1" ySplit="8" topLeftCell="B9" activePane="bottomRight" state="frozen"/>
    </x:sheetView>
  </x:sheetViews>
  <x:sheetFormatPr defaultRowHeight="15"/>
  <x:cols>
    <x:col min="1" max="1" width="21" hidden="0" customWidth="1"/>
    <x:col min="2" max="2" width="36" hidden="0" customWidth="1"/>
    <x:col min="3" max="3" width="21" hidden="0" customWidth="1"/>
    <x:col min="4" max="4" width="44" hidden="0" customWidth="1"/>
    <x:col min="5" max="5" width="26" hidden="0" customWidth="1"/>
    <x:col min="6" max="6" width="92" hidden="0" customWidth="1"/>
    <x:col min="7" max="7" width="26" hidden="0" customWidth="1"/>
    <x:col min="8" max="8" width="36" hidden="0" customWidth="1"/>
    <x:col min="9" max="9" width="24" hidden="0" customWidth="1"/>
    <x:col min="10" max="10" width="27" hidden="0" customWidth="1"/>
    <x:col min="11" max="11" width="35" hidden="0" customWidth="1"/>
    <x:col min="12" max="12" width="26" hidden="0" customWidth="1"/>
    <x:col min="13" max="13" width="76" hidden="0" customWidth="1"/>
    <x:col min="14" max="14" width="24" hidden="0" customWidth="1"/>
    <x:col min="15" max="15" width="25" hidden="0" customWidth="1"/>
    <x:col min="16" max="16" width="22" hidden="0" customWidth="1"/>
  </x:cols>
  <x:sheetData>
    <x:row r="1">
      <x:c r="A1" s="2"/>
      <x:c r="B1" s="2"/>
      <x:c r="C1" s="2"/>
      <x:c r="D1" s="2"/>
      <x:c r="E1" s="2"/>
      <x:c r="F1" s="2"/>
      <x:c r="G1" s="2"/>
      <x:c r="H1" s="2"/>
      <x:c r="I1" s="2"/>
      <x:c r="J1" s="2"/>
      <x:c r="K1" s="2"/>
      <x:c r="L1" s="2"/>
      <x:c r="M1" s="2"/>
      <x:c r="N1" s="2"/>
      <x:c r="O1" s="2"/>
      <x:c r="P1" s="2"/>
    </x:row>
    <x:row r="2" ht="30" customHeight="1">
      <x:c r="A2" s="3" t="str">
        <x:v>Reference publication-date audit</x:v>
      </x:c>
      <x:c r="B2" s="2"/>
      <x:c r="C2" s="2"/>
      <x:c r="D2" s="2"/>
      <x:c r="E2" s="2"/>
      <x:c r="F2" s="2"/>
      <x:c r="G2" s="2"/>
      <x:c r="H2" s="2"/>
      <x:c r="I2" s="2"/>
      <x:c r="J2" s="2"/>
      <x:c r="K2" s="2"/>
      <x:c r="L2" s="2"/>
      <x:c r="M2" s="2"/>
      <x:c r="N2" s="2"/>
      <x:c r="O2" s="2"/>
      <x:c r="P2" s="2"/>
    </x:row>
    <x:row r="3">
      <x:c r="A3" s="2" t="str">
        <x:v>45 genes. All 46 supplied PDFs reconciled with 43 distinct PMID records. Checked 19 October 2026.</x:v>
      </x:c>
      <x:c r="B3" s="2"/>
      <x:c r="C3" s="2"/>
      <x:c r="D3" s="2"/>
      <x:c r="E3" s="2"/>
      <x:c r="F3" s="2"/>
      <x:c r="G3" s="2"/>
      <x:c r="H3" s="2"/>
      <x:c r="I3" s="2"/>
      <x:c r="J3" s="2"/>
      <x:c r="K3" s="2"/>
      <x:c r="L3" s="2"/>
      <x:c r="M3" s="2"/>
      <x:c r="N3" s="2"/>
      <x:c r="O3" s="2"/>
      <x:c r="P3" s="2"/>
    </x:row>
    <x:row r="4">
      <x:c r="A4" s="2" t="str">
        <x:v>Date suggestions from a source audit. Original author decisions and frozen temporal results remain unchanged.</x:v>
      </x:c>
      <x:c r="B4" s="2"/>
      <x:c r="C4" s="2"/>
      <x:c r="D4" s="2"/>
      <x:c r="E4" s="2"/>
      <x:c r="F4" s="2"/>
      <x:c r="G4" s="2"/>
      <x:c r="H4" s="2"/>
      <x:c r="I4" s="2"/>
      <x:c r="J4" s="2"/>
      <x:c r="K4" s="2"/>
      <x:c r="L4" s="2"/>
      <x:c r="M4" s="2"/>
      <x:c r="N4" s="2"/>
      <x:c r="O4" s="2"/>
      <x:c r="P4" s="2"/>
    </x:row>
    <x:row r="5">
      <x:c r="A5" s="2" t="str">
        <x:v>Genes compared</x:v>
      </x:c>
      <x:c r="B5" s="2" t="n">
        <x:f>COUNTA(A9:A53)</x:f>
        <x:v>45</x:v>
      </x:c>
      <x:c r="C5" s="2"/>
      <x:c r="D5" s="2" t="str">
        <x:v>Exact first-public day unresolved</x:v>
      </x:c>
      <x:c r="E5" s="2" t="n">
        <x:f>COUNTIFS(J9:J53,"Interval retained")</x:f>
        <x:v>4</x:v>
      </x:c>
      <x:c r="F5" s="2"/>
      <x:c r="G5" s="2"/>
      <x:c r="H5" s="2"/>
      <x:c r="I5" s="2"/>
      <x:c r="J5" s="2"/>
      <x:c r="K5" s="2"/>
      <x:c r="L5" s="2"/>
      <x:c r="M5" s="2"/>
      <x:c r="N5" s="2"/>
      <x:c r="O5" s="2"/>
      <x:c r="P5" s="2"/>
    </x:row>
    <x:row r="6">
      <x:c r="A6" s="2" t="str">
        <x:v>Blank proposed dates retain uncertainty. Read the explanation in F and the separate publication events in the next two tabs.</x:v>
      </x:c>
      <x:c r="B6" s="2"/>
      <x:c r="C6" s="2"/>
      <x:c r="D6" s="2"/>
      <x:c r="E6" s="2"/>
      <x:c r="F6" s="2"/>
      <x:c r="G6" s="2"/>
      <x:c r="H6" s="2"/>
      <x:c r="I6" s="2"/>
      <x:c r="J6" s="2"/>
      <x:c r="K6" s="2"/>
      <x:c r="L6" s="2"/>
      <x:c r="M6" s="2"/>
      <x:c r="N6" s="2"/>
      <x:c r="O6" s="2"/>
      <x:c r="P6" s="2"/>
    </x:row>
    <x:row r="7">
      <x:c r="A7" s="2"/>
      <x:c r="B7" s="2"/>
      <x:c r="C7" s="2"/>
      <x:c r="D7" s="2"/>
      <x:c r="E7" s="2"/>
      <x:c r="F7" s="2"/>
      <x:c r="G7" s="2"/>
      <x:c r="H7" s="2"/>
      <x:c r="I7" s="2"/>
      <x:c r="J7" s="2"/>
      <x:c r="K7" s="2"/>
      <x:c r="L7" s="2"/>
      <x:c r="M7" s="2"/>
      <x:c r="N7" s="2"/>
      <x:c r="O7" s="2"/>
      <x:c r="P7" s="2"/>
    </x:row>
    <x:row r="8" ht="90" customHeight="1">
      <x:c r="A8" s="8" t="str">
        <x:v>Gene</x:v>
      </x:c>
      <x:c r="B8" s="8" t="str">
        <x:v>Why dates differ</x:v>
      </x:c>
      <x:c r="C8" s="8" t="str">
        <x:v>Original list date (AI, provisional)</x:v>
      </x:c>
      <x:c r="D8" s="8" t="str">
        <x:v>Professor returned date entry (preserved)</x:v>
      </x:c>
      <x:c r="E8" s="8" t="str">
        <x:v>Source-supported first PUBLIC target date (blank if exact first day unresolved)</x:v>
      </x:c>
      <x:c r="F8" s="8" t="str">
        <x:v>What the different dates mean</x:v>
      </x:c>
      <x:c r="G8" s="8" t="str">
        <x:v>Dated public event independently located (may not be earliest)</x:v>
      </x:c>
      <x:c r="H8" s="8" t="str">
        <x:v>Type of located public event</x:v>
      </x:c>
      <x:c r="I8" s="8" t="str">
        <x:v>Journal-hosted target report first public date</x:v>
      </x:c>
      <x:c r="J8" s="8" t="str">
        <x:v>Exact first-public-day status</x:v>
      </x:c>
      <x:c r="K8" s="8" t="str">
        <x:v>Frozen uncertainty interval (preserved)</x:v>
      </x:c>
      <x:c r="L8" s="8" t="str">
        <x:v>PMIDs in the supplied ZIP</x:v>
      </x:c>
      <x:c r="M8" s="8" t="str">
        <x:v>First-target timing source</x:v>
      </x:c>
      <x:c r="N8" s="8" t="str">
        <x:v>Professor date decision (preserved)</x:v>
      </x:c>
      <x:c r="O8" s="8" t="str">
        <x:v>Professor eligibility decision (preserved)</x:v>
      </x:c>
      <x:c r="P8" s="8" t="str">
        <x:v>Stable HGNC gene key</x:v>
      </x:c>
    </x:row>
    <x:row r="9" ht="52" customHeight="1">
      <x:c r="A9" s="10" t="str">
        <x:v>AP5B1</x:v>
      </x:c>
      <x:c r="B9" s="9" t="str">
        <x:v>Issue vs first online</x:v>
      </x:c>
      <x:c r="C9" s="11" t="d">
        <x:v>2025-03-12T00:00:00.000Z</x:v>
      </x:c>
      <x:c r="D9" s="11" t="d">
        <x:v>2025-04-03T00:00:00.000Z</x:v>
      </x:c>
      <x:c r="E9" s="11" t="d">
        <x:v>2025-03-12T00:00:00.000Z</x:v>
      </x:c>
      <x:c r="F9" s="9" t="str">
        <x:v>Returned April 3 is the issue date. First journal publication March 12 is explicitly recorded in PDF p.18. Preserve March 12 as the located public article date.</x:v>
      </x:c>
      <x:c r="G9" s="11" t="d">
        <x:v>2025-03-12T00:00:00.000Z</x:v>
      </x:c>
      <x:c r="H9" s="9" t="str">
        <x:v>Electronic publication (PubMed)</x:v>
      </x:c>
      <x:c r="I9" s="11" t="d">
        <x:v>2025-03-12T00:00:00.000Z</x:v>
      </x:c>
      <x:c r="J9" s="9" t="str">
        <x:v>Located day supported</x:v>
      </x:c>
      <x:c r="K9" s="9" t="str">
        <x:v>2025-01-01 to 2025-03-12</x:v>
      </x:c>
      <x:c r="L9" s="9" t="str">
        <x:v>40081374</x:v>
      </x:c>
      <x:c r="M9" s="9" t="str">
        <x:v>https://doi.org/10.1016/j.ajhg.2025.02.015</x:v>
      </x:c>
      <x:c r="N9" s="9" t="str">
        <x:v>CONFIRMED</x:v>
      </x:c>
      <x:c r="O9" s="9" t="str">
        <x:v>PENDING</x:v>
      </x:c>
      <x:c r="P9" s="9" t="str">
        <x:v>HGNC:25104</x:v>
      </x:c>
    </x:row>
    <x:row r="10" ht="68" customHeight="1">
      <x:c r="A10" s="10" t="str">
        <x:v>ATP11A</x:v>
      </x:c>
      <x:c r="B10" s="9" t="str">
        <x:v>Preprint vs later journal</x:v>
      </x:c>
      <x:c r="C10" s="11" t="d">
        <x:v>2021-05-28T00:00:00.000Z</x:v>
      </x:c>
      <x:c r="D10" s="11" t="d">
        <x:v>2022-03-12T00:00:00.000Z</x:v>
      </x:c>
      <x:c r="E10" s="11"/>
      <x:c r="F10" s="9" t="str">
        <x:v>May 28, 2021 is a real Research Square preprint date. March 12, 2022 is the journal online date. Also preserve the frozen 2021 interval because a 2021 thesis lead has unresolved deposit timing.</x:v>
      </x:c>
      <x:c r="G10" s="11" t="d">
        <x:v>2021-05-28T00:00:00.000Z</x:v>
      </x:c>
      <x:c r="H10" s="9" t="str">
        <x:v>Public preprint v1</x:v>
      </x:c>
      <x:c r="I10" s="11" t="d">
        <x:v>2022-03-12T00:00:00.000Z</x:v>
      </x:c>
      <x:c r="J10" s="9" t="str">
        <x:v>Interval retained</x:v>
      </x:c>
      <x:c r="K10" s="9" t="str">
        <x:v>2021-01-01 to 2021-05-28</x:v>
      </x:c>
      <x:c r="L10" s="9" t="str">
        <x:v>35278131</x:v>
      </x:c>
      <x:c r="M10" s="9" t="str">
        <x:v>https://www.researchsquare.com/article/rs-530835/v1</x:v>
      </x:c>
      <x:c r="N10" s="9" t="str">
        <x:v>REVISED</x:v>
      </x:c>
      <x:c r="O10" s="9" t="str">
        <x:v>PENDING</x:v>
      </x:c>
      <x:c r="P10" s="9" t="str">
        <x:v>HGNC:13552</x:v>
      </x:c>
    </x:row>
    <x:row r="11" ht="52" customHeight="1">
      <x:c r="A11" s="10" t="str">
        <x:v>BRWD1</x:v>
      </x:c>
      <x:c r="B11" s="9" t="str">
        <x:v>Same first-public article date</x:v>
      </x:c>
      <x:c r="C11" s="11" t="d">
        <x:v>2021-01-03T00:00:00.000Z</x:v>
      </x:c>
      <x:c r="D11" s="11" t="d">
        <x:v>2021-01-03T00:00:00.000Z</x:v>
      </x:c>
      <x:c r="E11" s="11" t="d">
        <x:v>2021-01-03T00:00:00.000Z</x:v>
      </x:c>
      <x:c r="F11" s="9" t="str">
        <x:v>Received and accepted in 2020, first journal online January 3, 2021. Receipt/acceptance alone do not make the paper publicly available before the cutoff.</x:v>
      </x:c>
      <x:c r="G11" s="11" t="d">
        <x:v>2021-01-03T00:00:00.000Z</x:v>
      </x:c>
      <x:c r="H11" s="9" t="str">
        <x:v>Electronic publication (PubMed)</x:v>
      </x:c>
      <x:c r="I11" s="11" t="d">
        <x:v>2021-01-03T00:00:00.000Z</x:v>
      </x:c>
      <x:c r="J11" s="9" t="str">
        <x:v>Located day supported</x:v>
      </x:c>
      <x:c r="K11" s="9" t="str">
        <x:v>2021-01-01 to 2021-01-03</x:v>
      </x:c>
      <x:c r="L11" s="9" t="str">
        <x:v>33389130</x:v>
      </x:c>
      <x:c r="M11" s="9" t="str">
        <x:v>https://doi.org/10.1007/s00439-020-02241-4</x:v>
      </x:c>
      <x:c r="N11" s="9" t="str">
        <x:v>CONFIRMED</x:v>
      </x:c>
      <x:c r="O11" s="9" t="str">
        <x:v>PENDING</x:v>
      </x:c>
      <x:c r="P11" s="9" t="str">
        <x:v>HGNC:12760</x:v>
      </x:c>
    </x:row>
    <x:row r="12" ht="52" customHeight="1">
      <x:c r="A12" s="10" t="str">
        <x:v>C19orf44</x:v>
      </x:c>
      <x:c r="B12" s="9" t="str">
        <x:v>Same first-public article date</x:v>
      </x:c>
      <x:c r="C12" s="11" t="d">
        <x:v>2025-03-10T00:00:00.000Z</x:v>
      </x:c>
      <x:c r="D12" s="11" t="d">
        <x:v>2025-03-10T00:00:00.000Z</x:v>
      </x:c>
      <x:c r="E12" s="11" t="d">
        <x:v>2025-03-10T00:00:00.000Z</x:v>
      </x:c>
      <x:c r="F12" s="9" t="str">
        <x:v>The original displayed date and returned date agree with the first located public journal date. No conflicting earlier event was identified in this bounded reconciliation.</x:v>
      </x:c>
      <x:c r="G12" s="11" t="d">
        <x:v>2025-03-10T00:00:00.000Z</x:v>
      </x:c>
      <x:c r="H12" s="9" t="str">
        <x:v>Electronic publication (PubMed)</x:v>
      </x:c>
      <x:c r="I12" s="11" t="d">
        <x:v>2025-03-10T00:00:00.000Z</x:v>
      </x:c>
      <x:c r="J12" s="9" t="str">
        <x:v>Located day supported</x:v>
      </x:c>
      <x:c r="K12" s="9" t="str">
        <x:v>2025-01-01 to 2025-03-10</x:v>
      </x:c>
      <x:c r="L12" s="9" t="str">
        <x:v>40079362</x:v>
      </x:c>
      <x:c r="M12" s="9" t="str">
        <x:v>https://doi.org/10.1016/j.gim.2025.101401</x:v>
      </x:c>
      <x:c r="N12" s="9" t="str">
        <x:v>CONFIRMED</x:v>
      </x:c>
      <x:c r="O12" s="9" t="str">
        <x:v>PENDING</x:v>
      </x:c>
      <x:c r="P12" s="9" t="str">
        <x:v>HGNC:26141</x:v>
      </x:c>
    </x:row>
    <x:row r="13" ht="52" customHeight="1">
      <x:c r="A13" s="10" t="str">
        <x:v>CEP76</x:v>
      </x:c>
      <x:c r="B13" s="9" t="str">
        <x:v>Same first-public article date</x:v>
      </x:c>
      <x:c r="C13" s="11" t="d">
        <x:v>2025-10-17T00:00:00.000Z</x:v>
      </x:c>
      <x:c r="D13" s="11" t="d">
        <x:v>2025-10-17T00:00:00.000Z</x:v>
      </x:c>
      <x:c r="E13" s="11" t="d">
        <x:v>2025-10-17T00:00:00.000Z</x:v>
      </x:c>
      <x:c r="F13" s="9" t="str">
        <x:v>The original displayed date and returned date agree with the first located public journal date. No conflicting earlier event was identified in this bounded reconciliation.</x:v>
      </x:c>
      <x:c r="G13" s="11" t="d">
        <x:v>2025-10-17T00:00:00.000Z</x:v>
      </x:c>
      <x:c r="H13" s="9" t="str">
        <x:v>Electronic publication (PubMed)</x:v>
      </x:c>
      <x:c r="I13" s="11" t="d">
        <x:v>2025-10-17T00:00:00.000Z</x:v>
      </x:c>
      <x:c r="J13" s="9" t="str">
        <x:v>Located day supported</x:v>
      </x:c>
      <x:c r="K13" s="9" t="str">
        <x:v>2025-01-01 to 2025-10-17</x:v>
      </x:c>
      <x:c r="L13" s="9" t="str">
        <x:v>41105778</x:v>
      </x:c>
      <x:c r="M13" s="9" t="str">
        <x:v>https://doi.org/10.1126/sciadv.adw3717</x:v>
      </x:c>
      <x:c r="N13" s="9" t="str">
        <x:v>CONFIRMED</x:v>
      </x:c>
      <x:c r="O13" s="9" t="str">
        <x:v>PENDING</x:v>
      </x:c>
      <x:c r="P13" s="9" t="str">
        <x:v>HGNC:25727</x:v>
      </x:c>
    </x:row>
    <x:row r="14" ht="52" customHeight="1">
      <x:c r="A14" s="10" t="str">
        <x:v>CFAP54</x:v>
      </x:c>
      <x:c r="B14" s="9" t="str">
        <x:v>Same first-public article date</x:v>
      </x:c>
      <x:c r="C14" s="11" t="d">
        <x:v>2023-09-19T00:00:00.000Z</x:v>
      </x:c>
      <x:c r="D14" s="11" t="d">
        <x:v>2023-09-19T00:00:00.000Z</x:v>
      </x:c>
      <x:c r="E14" s="11" t="d">
        <x:v>2023-09-19T00:00:00.000Z</x:v>
      </x:c>
      <x:c r="F14" s="9" t="str">
        <x:v>The original displayed date and returned date agree with the first located public journal date. No conflicting earlier event was identified in this bounded reconciliation.</x:v>
      </x:c>
      <x:c r="G14" s="11" t="d">
        <x:v>2023-09-19T00:00:00.000Z</x:v>
      </x:c>
      <x:c r="H14" s="9" t="str">
        <x:v>Electronic publication (PubMed)</x:v>
      </x:c>
      <x:c r="I14" s="11" t="d">
        <x:v>2023-09-19T00:00:00.000Z</x:v>
      </x:c>
      <x:c r="J14" s="9" t="str">
        <x:v>Located day supported</x:v>
      </x:c>
      <x:c r="K14" s="9" t="str">
        <x:v>2023-01-01 to 2023-09-19</x:v>
      </x:c>
      <x:c r="L14" s="9" t="str">
        <x:v>37725231</x:v>
      </x:c>
      <x:c r="M14" s="9" t="str">
        <x:v>https://doi.org/10.1007/s11684-023-0997-7</x:v>
      </x:c>
      <x:c r="N14" s="9" t="str">
        <x:v>CONFIRMED</x:v>
      </x:c>
      <x:c r="O14" s="9" t="str">
        <x:v>PENDING</x:v>
      </x:c>
      <x:c r="P14" s="9" t="str">
        <x:v>HGNC:26456</x:v>
      </x:c>
    </x:row>
    <x:row r="15" ht="52" customHeight="1">
      <x:c r="A15" s="10" t="str">
        <x:v>CLEC3B</x:v>
      </x:c>
      <x:c r="B15" s="9" t="str">
        <x:v>Same first-public article date</x:v>
      </x:c>
      <x:c r="C15" s="11" t="d">
        <x:v>2022-03-22T00:00:00.000Z</x:v>
      </x:c>
      <x:c r="D15" s="11" t="d">
        <x:v>2022-03-22T00:00:00.000Z</x:v>
      </x:c>
      <x:c r="E15" s="11" t="d">
        <x:v>2022-03-22T00:00:00.000Z</x:v>
      </x:c>
      <x:c r="F15" s="9" t="str">
        <x:v>The original displayed date and returned date agree with the first located public journal date. No conflicting earlier event was identified in this bounded reconciliation.</x:v>
      </x:c>
      <x:c r="G15" s="11" t="d">
        <x:v>2022-03-22T00:00:00.000Z</x:v>
      </x:c>
      <x:c r="H15" s="9" t="str">
        <x:v>Electronic publication (PubMed)</x:v>
      </x:c>
      <x:c r="I15" s="11" t="d">
        <x:v>2022-03-22T00:00:00.000Z</x:v>
      </x:c>
      <x:c r="J15" s="9" t="str">
        <x:v>Located day supported</x:v>
      </x:c>
      <x:c r="K15" s="9" t="str">
        <x:v>2022-01-01 to 2022-03-22</x:v>
      </x:c>
      <x:c r="L15" s="9" t="str">
        <x:v>35331648</x:v>
      </x:c>
      <x:c r="M15" s="9" t="str">
        <x:v>https://doi.org/10.1016/j.gim.2022.02.012</x:v>
      </x:c>
      <x:c r="N15" s="9" t="str">
        <x:v>CONFIRMED</x:v>
      </x:c>
      <x:c r="O15" s="9" t="str">
        <x:v>PENDING</x:v>
      </x:c>
      <x:c r="P15" s="9" t="str">
        <x:v>HGNC:11891</x:v>
      </x:c>
    </x:row>
    <x:row r="16" ht="52" customHeight="1">
      <x:c r="A16" s="10" t="str">
        <x:v>COQ5</x:v>
      </x:c>
      <x:c r="B16" s="9" t="str">
        <x:v>Same first-public article date</x:v>
      </x:c>
      <x:c r="C16" s="11" t="d">
        <x:v>2022-10-20T00:00:00.000Z</x:v>
      </x:c>
      <x:c r="D16" s="11" t="d">
        <x:v>2022-10-20T00:00:00.000Z</x:v>
      </x:c>
      <x:c r="E16" s="11" t="d">
        <x:v>2022-10-20T00:00:00.000Z</x:v>
      </x:c>
      <x:c r="F16" s="9" t="str">
        <x:v>The original displayed date and returned date agree with the first located public journal date. No conflicting earlier event was identified in this bounded reconciliation.</x:v>
      </x:c>
      <x:c r="G16" s="11" t="d">
        <x:v>2022-10-20T00:00:00.000Z</x:v>
      </x:c>
      <x:c r="H16" s="9" t="str">
        <x:v>Electronic publication (PubMed)</x:v>
      </x:c>
      <x:c r="I16" s="11" t="d">
        <x:v>2022-10-20T00:00:00.000Z</x:v>
      </x:c>
      <x:c r="J16" s="9" t="str">
        <x:v>Located day supported</x:v>
      </x:c>
      <x:c r="K16" s="9" t="str">
        <x:v>2022-01-01 to 2022-10-20</x:v>
      </x:c>
      <x:c r="L16" s="9" t="str">
        <x:v>36266294</x:v>
      </x:c>
      <x:c r="M16" s="9" t="str">
        <x:v>https://doi.org/10.1038/s41525-022-00330-z</x:v>
      </x:c>
      <x:c r="N16" s="9" t="str">
        <x:v>CONFIRMED</x:v>
      </x:c>
      <x:c r="O16" s="9" t="str">
        <x:v>PENDING</x:v>
      </x:c>
      <x:c r="P16" s="9" t="str">
        <x:v>HGNC:28722</x:v>
      </x:c>
    </x:row>
    <x:row r="17" ht="68" customHeight="1">
      <x:c r="A17" s="10" t="str">
        <x:v>CREB3</x:v>
      </x:c>
      <x:c r="B17" s="9" t="str">
        <x:v>Earlier conference timing uncertain</x:v>
      </x:c>
      <x:c r="C17" s="11" t="d">
        <x:v>2024-05-01T00:00:00.000Z</x:v>
      </x:c>
      <x:c r="D17" s="11" t="d">
        <x:v>2025-07-17T00:00:00.000Z</x:v>
      </x:c>
      <x:c r="E17" s="11"/>
      <x:c r="F17" s="9" t="str">
        <x:v>July 17, 2025 is verified journal online publication. A retrospective author-program record describes target presentations in May/July 2024. Keep the frozen interval 2024-05-01 to 2025-07-17. The old displayed May 1 was not an exact verified day.</x:v>
      </x:c>
      <x:c r="G17" s="11" t="d">
        <x:v>2025-07-17T00:00:00.000Z</x:v>
      </x:c>
      <x:c r="H17" s="9" t="str">
        <x:v>Published online</x:v>
      </x:c>
      <x:c r="I17" s="11" t="d">
        <x:v>2025-07-17T00:00:00.000Z</x:v>
      </x:c>
      <x:c r="J17" s="9" t="str">
        <x:v>Interval retained</x:v>
      </x:c>
      <x:c r="K17" s="9" t="str">
        <x:v>2024-05-01 to 2025-07-17</x:v>
      </x:c>
      <x:c r="L17" s="9" t="str">
        <x:v>40674075</x:v>
      </x:c>
      <x:c r="M17" s="9" t="str">
        <x:v>https://doi.org/10.1001/jamaophthalmol.2025.2187</x:v>
      </x:c>
      <x:c r="N17" s="9" t="str">
        <x:v>REVISED</x:v>
      </x:c>
      <x:c r="O17" s="9" t="str">
        <x:v>PENDING</x:v>
      </x:c>
      <x:c r="P17" s="9" t="str">
        <x:v>HGNC:2347</x:v>
      </x:c>
    </x:row>
    <x:row r="18" ht="68" customHeight="1">
      <x:c r="A18" s="10" t="str">
        <x:v>CRLS1</x:v>
      </x:c>
      <x:c r="B18" s="9" t="str">
        <x:v>Acceptance and unsupported issue entry</x:v>
      </x:c>
      <x:c r="C18" s="11" t="d">
        <x:v>2022-02-11T00:00:00.000Z</x:v>
      </x:c>
      <x:c r="D18" s="9" t="str">
        <x:v>2022-02-06 accpeted
2022-10-08 published</x:v>
      </x:c>
      <x:c r="E18" s="11" t="d">
        <x:v>2022-02-11T00:00:00.000Z</x:v>
      </x:c>
      <x:c r="F18" s="9" t="str">
        <x:v>Acceptance February 6 is distinct from advance access February 11, 2022. Returned October 8 is unsupported. PubMed gives the issue date October 28, 2022. Use February 11 for the located public article date.</x:v>
      </x:c>
      <x:c r="G18" s="11" t="d">
        <x:v>2022-02-11T00:00:00.000Z</x:v>
      </x:c>
      <x:c r="H18" s="9" t="str">
        <x:v>Advance access</x:v>
      </x:c>
      <x:c r="I18" s="11" t="d">
        <x:v>2022-02-11T00:00:00.000Z</x:v>
      </x:c>
      <x:c r="J18" s="9" t="str">
        <x:v>Located day supported</x:v>
      </x:c>
      <x:c r="K18" s="9" t="str">
        <x:v>2022-01-01 to 2022-02-11</x:v>
      </x:c>
      <x:c r="L18" s="9" t="str">
        <x:v>35147173</x:v>
      </x:c>
      <x:c r="M18" s="9" t="str">
        <x:v>https://academic.oup.com/hmg/article-pdf/31/21/3597/46673942/ddac040.pdf</x:v>
      </x:c>
      <x:c r="N18" s="9" t="str">
        <x:v>REVISED</x:v>
      </x:c>
      <x:c r="O18" s="9" t="str">
        <x:v>PENDING</x:v>
      </x:c>
      <x:c r="P18" s="9" t="str">
        <x:v>HGNC:16148</x:v>
      </x:c>
    </x:row>
    <x:row r="19" ht="52" customHeight="1">
      <x:c r="A19" s="10" t="str">
        <x:v>CTNND1</x:v>
      </x:c>
      <x:c r="B19" s="9" t="str">
        <x:v>In-press preview vs final version</x:v>
      </x:c>
      <x:c r="C19" s="11" t="d">
        <x:v>2022-06-14T00:00:00.000Z</x:v>
      </x:c>
      <x:c r="D19" s="11" t="d">
        <x:v>2022-07-22T00:00:00.000Z</x:v>
      </x:c>
      <x:c r="E19" s="11" t="d">
        <x:v>2022-06-14T00:00:00.000Z</x:v>
      </x:c>
      <x:c r="F19" s="9" t="str">
        <x:v>June 14, 2022 was a public in-press preview, confirmed in publisher version history. July 22 is the electronic/final issue version. The earlier original date is supported.</x:v>
      </x:c>
      <x:c r="G19" s="11" t="d">
        <x:v>2022-06-14T00:00:00.000Z</x:v>
      </x:c>
      <x:c r="H19" s="9" t="str">
        <x:v>In-press preview</x:v>
      </x:c>
      <x:c r="I19" s="11" t="d">
        <x:v>2022-06-14T00:00:00.000Z</x:v>
      </x:c>
      <x:c r="J19" s="9" t="str">
        <x:v>Located day supported</x:v>
      </x:c>
      <x:c r="K19" s="9" t="str">
        <x:v>2022-01-01 to 2022-06-14</x:v>
      </x:c>
      <x:c r="L19" s="9" t="str">
        <x:v>35700046</x:v>
      </x:c>
      <x:c r="M19" s="9" t="str">
        <x:v>https://insight.jci.org/articles/view/158428</x:v>
      </x:c>
      <x:c r="N19" s="9" t="str">
        <x:v>PENDING</x:v>
      </x:c>
      <x:c r="O19" s="9" t="str">
        <x:v>PENDING</x:v>
      </x:c>
      <x:c r="P19" s="9" t="str">
        <x:v>HGNC:2515</x:v>
      </x:c>
    </x:row>
    <x:row r="20" ht="52" customHeight="1">
      <x:c r="A20" s="10" t="str">
        <x:v>DHRSX</x:v>
      </x:c>
      <x:c r="B20" s="9" t="str">
        <x:v>Multiple valid date/domain events</x:v>
      </x:c>
      <x:c r="C20" s="11" t="d">
        <x:v>2024-05-30T00:00:00.000Z</x:v>
      </x:c>
      <x:c r="D20" s="9" t="str">
        <x:v>Epub 2024-05-30
Pub 2024-07-11</x:v>
      </x:c>
      <x:c r="E20" s="11" t="d">
        <x:v>2024-05-30T00:00:00.000Z</x:v>
      </x:c>
      <x:c r="F20" s="9" t="str">
        <x:v>Both returned dates are valid events: online May 30 and issue July 11, 2024. A June 10 online correction is separate. First-public timing remains May 30.</x:v>
      </x:c>
      <x:c r="G20" s="11" t="d">
        <x:v>2024-05-30T00:00:00.000Z</x:v>
      </x:c>
      <x:c r="H20" s="9" t="str">
        <x:v>Electronic publication (PubMed)</x:v>
      </x:c>
      <x:c r="I20" s="11" t="d">
        <x:v>2024-05-30T00:00:00.000Z</x:v>
      </x:c>
      <x:c r="J20" s="9" t="str">
        <x:v>Located day supported</x:v>
      </x:c>
      <x:c r="K20" s="9" t="str">
        <x:v>2024-01-01 to 2024-05-30</x:v>
      </x:c>
      <x:c r="L20" s="9" t="str">
        <x:v>38821050</x:v>
      </x:c>
      <x:c r="M20" s="9" t="str">
        <x:v>https://doi.org/10.1016/j.cell.2024.04.041</x:v>
      </x:c>
      <x:c r="N20" s="9" t="str">
        <x:v>CONFIRMED</x:v>
      </x:c>
      <x:c r="O20" s="9" t="str">
        <x:v>PENDING</x:v>
      </x:c>
      <x:c r="P20" s="9" t="str">
        <x:v>HGNC:18399</x:v>
      </x:c>
    </x:row>
    <x:row r="21" ht="52" customHeight="1">
      <x:c r="A21" s="10" t="str">
        <x:v>DNAJC30</x:v>
      </x:c>
      <x:c r="B21" s="9" t="str">
        <x:v>In-press preview vs final version</x:v>
      </x:c>
      <x:c r="C21" s="11" t="d">
        <x:v>2021-01-19T00:00:00.000Z</x:v>
      </x:c>
      <x:c r="D21" s="9" t="str">
        <x:v>Accepter 2021-01-14
published: 2021-3-15</x:v>
      </x:c>
      <x:c r="E21" s="11" t="d">
        <x:v>2021-01-19T00:00:00.000Z</x:v>
      </x:c>
      <x:c r="F21" s="9" t="str">
        <x:v>Acceptance January 14, 2021 is not public release. Publisher version history supports January 19 in-press preview, before March 15 final electronic publication.</x:v>
      </x:c>
      <x:c r="G21" s="11" t="d">
        <x:v>2021-01-19T00:00:00.000Z</x:v>
      </x:c>
      <x:c r="H21" s="9" t="str">
        <x:v>In-press preview</x:v>
      </x:c>
      <x:c r="I21" s="11" t="d">
        <x:v>2021-01-19T00:00:00.000Z</x:v>
      </x:c>
      <x:c r="J21" s="9" t="str">
        <x:v>Located day supported</x:v>
      </x:c>
      <x:c r="K21" s="9" t="str">
        <x:v>2021-01-01 to 2021-01-19</x:v>
      </x:c>
      <x:c r="L21" s="9" t="str">
        <x:v>33465056</x:v>
      </x:c>
      <x:c r="M21" s="9" t="str">
        <x:v>https://www.jci.org/articles/view/138267</x:v>
      </x:c>
      <x:c r="N21" s="9" t="str">
        <x:v>REVISED</x:v>
      </x:c>
      <x:c r="O21" s="9" t="str">
        <x:v>PENDING</x:v>
      </x:c>
      <x:c r="P21" s="9" t="str">
        <x:v>HGNC:16410</x:v>
      </x:c>
    </x:row>
    <x:row r="22" ht="52" customHeight="1">
      <x:c r="A22" s="10" t="str">
        <x:v>CLXN (EFCAB1)</x:v>
      </x:c>
      <x:c r="B22" s="9" t="str">
        <x:v>Same first-public article date</x:v>
      </x:c>
      <x:c r="C22" s="11" t="d">
        <x:v>2023-01-31T00:00:00.000Z</x:v>
      </x:c>
      <x:c r="D22" s="11" t="d">
        <x:v>2023-01-31T00:00:00.000Z</x:v>
      </x:c>
      <x:c r="E22" s="11" t="d">
        <x:v>2023-01-31T00:00:00.000Z</x:v>
      </x:c>
      <x:c r="F22" s="9" t="str">
        <x:v>The original displayed date and returned date agree with the first located public journal date. No conflicting earlier event was identified in this bounded reconciliation.</x:v>
      </x:c>
      <x:c r="G22" s="11" t="d">
        <x:v>2023-01-31T00:00:00.000Z</x:v>
      </x:c>
      <x:c r="H22" s="9" t="str">
        <x:v>Electronic publication (PubMed)</x:v>
      </x:c>
      <x:c r="I22" s="11" t="d">
        <x:v>2023-01-31T00:00:00.000Z</x:v>
      </x:c>
      <x:c r="J22" s="9" t="str">
        <x:v>Located day supported</x:v>
      </x:c>
      <x:c r="K22" s="9" t="str">
        <x:v>2023-01-01 to 2023-01-31</x:v>
      </x:c>
      <x:c r="L22" s="9" t="str">
        <x:v>36727596</x:v>
      </x:c>
      <x:c r="M22" s="9" t="str">
        <x:v>https://doi.org/10.1016/j.gim.2023.100798</x:v>
      </x:c>
      <x:c r="N22" s="9" t="str">
        <x:v>CONFIRMED</x:v>
      </x:c>
      <x:c r="O22" s="9" t="str">
        <x:v>PENDING</x:v>
      </x:c>
      <x:c r="P22" s="9" t="str">
        <x:v>HGNC:25678</x:v>
      </x:c>
    </x:row>
    <x:row r="23" ht="68" customHeight="1">
      <x:c r="A23" s="10" t="str">
        <x:v>FSD1L</x:v>
      </x:c>
      <x:c r="B23" s="9" t="str">
        <x:v>Issue vs first online</x:v>
      </x:c>
      <x:c r="C23" s="11" t="d">
        <x:v>2026-02-19T00:00:00.000Z</x:v>
      </x:c>
      <x:c r="D23" s="11" t="d">
        <x:v>2026-03-05T00:00:00.000Z</x:v>
      </x:c>
      <x:c r="E23" s="11" t="d">
        <x:v>2026-02-19T00:00:00.000Z</x:v>
      </x:c>
      <x:c r="F23" s="9" t="str">
        <x:v>February 19 is the journal online date; March 5 is the issue date. Attached PMID 41720098 is the neurological companion. Fresh metadata for the unprovided retinal PMID 41720099 independently has the same February 19 online date.</x:v>
      </x:c>
      <x:c r="G23" s="11" t="d">
        <x:v>2026-02-19T00:00:00.000Z</x:v>
      </x:c>
      <x:c r="H23" s="9" t="str">
        <x:v>Retinal companion report outside ZIP</x:v>
      </x:c>
      <x:c r="I23" s="11" t="d">
        <x:v>2026-02-19T00:00:00.000Z</x:v>
      </x:c>
      <x:c r="J23" s="9" t="str">
        <x:v>Located day supported</x:v>
      </x:c>
      <x:c r="K23" s="9" t="str">
        <x:v>2026-01-01 to 2026-02-19</x:v>
      </x:c>
      <x:c r="L23" s="9" t="str">
        <x:v>41720098</x:v>
      </x:c>
      <x:c r="M23" s="9" t="str">
        <x:v>https://pubmed.ncbi.nlm.nih.gov/41720099/</x:v>
      </x:c>
      <x:c r="N23" s="9" t="str">
        <x:v>REVISED</x:v>
      </x:c>
      <x:c r="O23" s="9" t="str">
        <x:v>PENDING</x:v>
      </x:c>
      <x:c r="P23" s="9" t="str">
        <x:v>HGNC:13753</x:v>
      </x:c>
    </x:row>
    <x:row r="24" ht="86" customHeight="1">
      <x:c r="A24" s="10" t="str">
        <x:v>GPATCH11</x:v>
      </x:c>
      <x:c r="B24" s="9" t="str">
        <x:v>Preprint vs later journal</x:v>
      </x:c>
      <x:c r="C24" s="11" t="d">
        <x:v>2023-08-21T00:00:00.000Z</x:v>
      </x:c>
      <x:c r="D24" s="9" t="str">
        <x:v>received 2023-10-09
Accepted 2024-11-13
Published online 2024-11-21</x:v>
      </x:c>
      <x:c r="E24" s="11" t="d">
        <x:v>2023-08-21T00:00:00.000Z</x:v>
      </x:c>
      <x:c r="F24" s="9" t="str">
        <x:v>The target preprint was public August 21, 2023, before journal receipt October 9. Journal acceptance November 13 and publication November 21, 2024 are later events. DOI August 19 is not the posting day.</x:v>
      </x:c>
      <x:c r="G24" s="11" t="d">
        <x:v>2023-08-21T00:00:00.000Z</x:v>
      </x:c>
      <x:c r="H24" s="9" t="str">
        <x:v>Public preprint v1</x:v>
      </x:c>
      <x:c r="I24" s="11" t="d">
        <x:v>2024-11-21T00:00:00.000Z</x:v>
      </x:c>
      <x:c r="J24" s="9" t="str">
        <x:v>Located day supported</x:v>
      </x:c>
      <x:c r="K24" s="9" t="str">
        <x:v>2023-01-01 to 2023-08-21</x:v>
      </x:c>
      <x:c r="L24" s="9" t="str">
        <x:v>39572588</x:v>
      </x:c>
      <x:c r="M24" s="9" t="str">
        <x:v>https://www.medrxiv.org/content/10.1101/2023.08.19.23293832v1</x:v>
      </x:c>
      <x:c r="N24" s="9" t="str">
        <x:v>REVISED</x:v>
      </x:c>
      <x:c r="O24" s="9" t="str">
        <x:v>PENDING</x:v>
      </x:c>
      <x:c r="P24" s="9" t="str">
        <x:v>HGNC:26768</x:v>
      </x:c>
    </x:row>
    <x:row r="25" ht="52" customHeight="1">
      <x:c r="A25" s="10" t="str">
        <x:v>GPR156</x:v>
      </x:c>
      <x:c r="B25" s="9" t="str">
        <x:v>Same first-public article date</x:v>
      </x:c>
      <x:c r="C25" s="11" t="d">
        <x:v>2023-03-16T00:00:00.000Z</x:v>
      </x:c>
      <x:c r="D25" s="11" t="d">
        <x:v>2023-03-16T00:00:00.000Z</x:v>
      </x:c>
      <x:c r="E25" s="11" t="d">
        <x:v>2023-03-16T00:00:00.000Z</x:v>
      </x:c>
      <x:c r="F25" s="9" t="str">
        <x:v>The original displayed date and returned date agree with the first located public journal date. No conflicting earlier event was identified in this bounded reconciliation.</x:v>
      </x:c>
      <x:c r="G25" s="11" t="d">
        <x:v>2023-03-16T00:00:00.000Z</x:v>
      </x:c>
      <x:c r="H25" s="9" t="str">
        <x:v>Electronic publication (PubMed)</x:v>
      </x:c>
      <x:c r="I25" s="11" t="d">
        <x:v>2023-03-16T00:00:00.000Z</x:v>
      </x:c>
      <x:c r="J25" s="9" t="str">
        <x:v>Located day supported</x:v>
      </x:c>
      <x:c r="K25" s="9" t="str">
        <x:v>2023-01-01 to 2023-03-16</x:v>
      </x:c>
      <x:c r="L25" s="9" t="str">
        <x:v>36928819</x:v>
      </x:c>
      <x:c r="M25" s="9" t="str">
        <x:v>https://doi.org/10.1038/s41591-023-02211-z</x:v>
      </x:c>
      <x:c r="N25" s="9" t="str">
        <x:v>CONFIRMED</x:v>
      </x:c>
      <x:c r="O25" s="9" t="str">
        <x:v>PENDING</x:v>
      </x:c>
      <x:c r="P25" s="9" t="str">
        <x:v>HGNC:20844</x:v>
      </x:c>
    </x:row>
    <x:row r="26" ht="52" customHeight="1">
      <x:c r="A26" s="10" t="str">
        <x:v>IDH3G</x:v>
      </x:c>
      <x:c r="B26" s="9" t="str">
        <x:v>Same first-public article date</x:v>
      </x:c>
      <x:c r="C26" s="11" t="d">
        <x:v>2025-03-19T00:00:00.000Z</x:v>
      </x:c>
      <x:c r="D26" s="11" t="d">
        <x:v>2025-03-19T00:00:00.000Z</x:v>
      </x:c>
      <x:c r="E26" s="11" t="d">
        <x:v>2025-03-19T00:00:00.000Z</x:v>
      </x:c>
      <x:c r="F26" s="9" t="str">
        <x:v>The original displayed date and returned date agree with the first located public journal date. No conflicting earlier event was identified in this bounded reconciliation.</x:v>
      </x:c>
      <x:c r="G26" s="11" t="d">
        <x:v>2025-03-19T00:00:00.000Z</x:v>
      </x:c>
      <x:c r="H26" s="9" t="str">
        <x:v>Electronic publication (PubMed)</x:v>
      </x:c>
      <x:c r="I26" s="11" t="d">
        <x:v>2025-03-19T00:00:00.000Z</x:v>
      </x:c>
      <x:c r="J26" s="9" t="str">
        <x:v>Located day supported</x:v>
      </x:c>
      <x:c r="K26" s="9" t="str">
        <x:v>2025-01-01 to 2025-03-19</x:v>
      </x:c>
      <x:c r="L26" s="9" t="str">
        <x:v>40119724</x:v>
      </x:c>
      <x:c r="M26" s="9" t="str">
        <x:v>https://doi.org/10.1016/j.gim.2025.101418</x:v>
      </x:c>
      <x:c r="N26" s="9" t="str">
        <x:v>PENDING</x:v>
      </x:c>
      <x:c r="O26" s="9" t="str">
        <x:v>PENDING</x:v>
      </x:c>
      <x:c r="P26" s="9" t="str">
        <x:v>HGNC:5386</x:v>
      </x:c>
    </x:row>
    <x:row r="27" ht="52" customHeight="1">
      <x:c r="A27" s="10" t="str">
        <x:v>INTS11</x:v>
      </x:c>
      <x:c r="B27" s="9" t="str">
        <x:v>Multiple valid date/domain events</x:v>
      </x:c>
      <x:c r="C27" s="11" t="d">
        <x:v>2023-04-12T00:00:00.000Z</x:v>
      </x:c>
      <x:c r="D27" s="9" t="str">
        <x:v>Epub 2023-04-12
pub 2023-05-04</x:v>
      </x:c>
      <x:c r="E27" s="11" t="d">
        <x:v>2023-04-12T00:00:00.000Z</x:v>
      </x:c>
      <x:c r="F27" s="9" t="str">
        <x:v>Both returned dates are valid: online April 12, issue May 4, 2023. Use April 12 for the located public article date.</x:v>
      </x:c>
      <x:c r="G27" s="11" t="d">
        <x:v>2023-04-12T00:00:00.000Z</x:v>
      </x:c>
      <x:c r="H27" s="9" t="str">
        <x:v>Electronic publication (PubMed)</x:v>
      </x:c>
      <x:c r="I27" s="11" t="d">
        <x:v>2023-04-12T00:00:00.000Z</x:v>
      </x:c>
      <x:c r="J27" s="9" t="str">
        <x:v>Located day supported</x:v>
      </x:c>
      <x:c r="K27" s="9" t="str">
        <x:v>2023-01-01 to 2023-04-12</x:v>
      </x:c>
      <x:c r="L27" s="9" t="str">
        <x:v>37054711</x:v>
      </x:c>
      <x:c r="M27" s="9" t="str">
        <x:v>https://doi.org/10.1016/j.ajhg.2023.03.012</x:v>
      </x:c>
      <x:c r="N27" s="9" t="str">
        <x:v>PENDING</x:v>
      </x:c>
      <x:c r="O27" s="9" t="str">
        <x:v>PENDING</x:v>
      </x:c>
      <x:c r="P27" s="9" t="str">
        <x:v>HGNC:26052</x:v>
      </x:c>
    </x:row>
    <x:row r="28" ht="68" customHeight="1">
      <x:c r="A28" s="10" t="str">
        <x:v>KCNJ16</x:v>
      </x:c>
      <x:c r="B28" s="9" t="str">
        <x:v>Multiple valid date/domain events</x:v>
      </x:c>
      <x:c r="C28" s="11" t="d">
        <x:v>2021-04-02T00:00:00.000Z</x:v>
      </x:c>
      <x:c r="D28" s="9" t="str">
        <x:v>Epub 2021-04-02
pub 2021-06-01</x:v>
      </x:c>
      <x:c r="E28" s="11" t="d">
        <x:v>2021-04-02T00:00:00.000Z</x:v>
      </x:c>
      <x:c r="F28" s="9" t="str">
        <x:v>Online April 2 precedes June 1, 2021 issue. The supplied PDF is only a two-page extract. Receipt/acceptance and exact online date were checked in fresh PubMed XML, not inferred from this limited PDF.</x:v>
      </x:c>
      <x:c r="G28" s="11" t="d">
        <x:v>2021-04-02T00:00:00.000Z</x:v>
      </x:c>
      <x:c r="H28" s="9" t="str">
        <x:v>Electronic publication (PubMed)</x:v>
      </x:c>
      <x:c r="I28" s="11" t="d">
        <x:v>2021-04-02T00:00:00.000Z</x:v>
      </x:c>
      <x:c r="J28" s="9" t="str">
        <x:v>Located day supported</x:v>
      </x:c>
      <x:c r="K28" s="9" t="str">
        <x:v>2021-01-01 to 2021-04-02</x:v>
      </x:c>
      <x:c r="L28" s="9" t="str">
        <x:v>33811157</x:v>
      </x:c>
      <x:c r="M28" s="9" t="str">
        <x:v>https://doi.org/10.1681/asn.2020111587</x:v>
      </x:c>
      <x:c r="N28" s="9" t="str">
        <x:v>PENDING</x:v>
      </x:c>
      <x:c r="O28" s="9" t="str">
        <x:v>PENDING</x:v>
      </x:c>
      <x:c r="P28" s="9" t="str">
        <x:v>HGNC:6262</x:v>
      </x:c>
    </x:row>
    <x:row r="29" ht="52" customHeight="1">
      <x:c r="A29" s="10" t="str">
        <x:v>KIAA1024L</x:v>
      </x:c>
      <x:c r="B29" s="9" t="str">
        <x:v>Same first-public article date</x:v>
      </x:c>
      <x:c r="C29" s="11" t="d">
        <x:v>2022-06-21T00:00:00.000Z</x:v>
      </x:c>
      <x:c r="D29" s="11" t="d">
        <x:v>2022-06-21T00:00:00.000Z</x:v>
      </x:c>
      <x:c r="E29" s="11" t="d">
        <x:v>2022-06-21T00:00:00.000Z</x:v>
      </x:c>
      <x:c r="F29" s="9" t="str">
        <x:v>The original displayed date and returned date agree with the first located public journal date. No conflicting earlier event was identified in this bounded reconciliation.</x:v>
      </x:c>
      <x:c r="G29" s="11" t="d">
        <x:v>2022-06-21T00:00:00.000Z</x:v>
      </x:c>
      <x:c r="H29" s="9" t="str">
        <x:v>Electronic publication (PubMed)</x:v>
      </x:c>
      <x:c r="I29" s="11" t="d">
        <x:v>2022-06-21T00:00:00.000Z</x:v>
      </x:c>
      <x:c r="J29" s="9" t="str">
        <x:v>Located day supported</x:v>
      </x:c>
      <x:c r="K29" s="9" t="str">
        <x:v>2022-01-01 to 2022-06-21</x:v>
      </x:c>
      <x:c r="L29" s="9" t="str">
        <x:v>35727972</x:v>
      </x:c>
      <x:c r="M29" s="9" t="str">
        <x:v>https://doi.org/10.1073/pnas.2204084119</x:v>
      </x:c>
      <x:c r="N29" s="9" t="str">
        <x:v>PENDING</x:v>
      </x:c>
      <x:c r="O29" s="9" t="str">
        <x:v>PENDING</x:v>
      </x:c>
      <x:c r="P29" s="9" t="str">
        <x:v>HGNC:33914</x:v>
      </x:c>
    </x:row>
    <x:row r="30" ht="52" customHeight="1">
      <x:c r="A30" s="10" t="str">
        <x:v>LIG3</x:v>
      </x:c>
      <x:c r="B30" s="9" t="str">
        <x:v>Issue vs first online</x:v>
      </x:c>
      <x:c r="C30" s="11" t="d">
        <x:v>2021-04-15T00:00:00.000Z</x:v>
      </x:c>
      <x:c r="D30" s="11" t="d">
        <x:v>2021-06-22T00:00:00.000Z</x:v>
      </x:c>
      <x:c r="E30" s="11" t="d">
        <x:v>2021-04-15T00:00:00.000Z</x:v>
      </x:c>
      <x:c r="F30" s="9" t="str">
        <x:v>Advance access April 15, 2021 precedes June 22 issue. Accepted December 9, 2020 does not establish pre-cutoff public availability.</x:v>
      </x:c>
      <x:c r="G30" s="11" t="d">
        <x:v>2021-04-15T00:00:00.000Z</x:v>
      </x:c>
      <x:c r="H30" s="9" t="str">
        <x:v>Advance access</x:v>
      </x:c>
      <x:c r="I30" s="11" t="d">
        <x:v>2021-04-15T00:00:00.000Z</x:v>
      </x:c>
      <x:c r="J30" s="9" t="str">
        <x:v>Located day supported</x:v>
      </x:c>
      <x:c r="K30" s="9" t="str">
        <x:v>2021-01-01 to 2021-04-15</x:v>
      </x:c>
      <x:c r="L30" s="9" t="str">
        <x:v>33855352</x:v>
      </x:c>
      <x:c r="M30" s="9" t="str">
        <x:v>https://doi.org/10.1093/brain/awab056</x:v>
      </x:c>
      <x:c r="N30" s="9" t="str">
        <x:v>PENDING</x:v>
      </x:c>
      <x:c r="O30" s="9" t="str">
        <x:v>PENDING</x:v>
      </x:c>
      <x:c r="P30" s="9" t="str">
        <x:v>HGNC:6600</x:v>
      </x:c>
    </x:row>
    <x:row r="31" ht="68" customHeight="1">
      <x:c r="A31" s="10" t="str">
        <x:v>MRPL49</x:v>
      </x:c>
      <x:c r="B31" s="9" t="str">
        <x:v>Preprint and unresolved thesis timing</x:v>
      </x:c>
      <x:c r="C31" s="11" t="d">
        <x:v>2024-10-11T00:00:00.000Z</x:v>
      </x:c>
      <x:c r="D31" s="11" t="d">
        <x:v>2025-04-03T00:00:00.000Z</x:v>
      </x:c>
      <x:c r="E31" s="11"/>
      <x:c r="F31" s="9" t="str">
        <x:v>Public preprint October 11, 2024 precedes online March 4 and issue April 3, 2025. Earlier thesis award year 2022 and submission January 2023 do not establish public deposit. Keep frozen interval 2022-01-01 to 2024-10-11.</x:v>
      </x:c>
      <x:c r="G31" s="11" t="d">
        <x:v>2024-10-11T00:00:00.000Z</x:v>
      </x:c>
      <x:c r="H31" s="9" t="str">
        <x:v>Public preprint v1</x:v>
      </x:c>
      <x:c r="I31" s="11" t="d">
        <x:v>2025-03-04T00:00:00.000Z</x:v>
      </x:c>
      <x:c r="J31" s="9" t="str">
        <x:v>Interval retained</x:v>
      </x:c>
      <x:c r="K31" s="9" t="str">
        <x:v>2022-01-01 to 2024-10-11</x:v>
      </x:c>
      <x:c r="L31" s="9" t="str">
        <x:v>40043708</x:v>
      </x:c>
      <x:c r="M31" s="9" t="str">
        <x:v>https://www.medrxiv.org/content/10.1101/2024.10.10.24315152v1</x:v>
      </x:c>
      <x:c r="N31" s="9" t="str">
        <x:v>PENDING</x:v>
      </x:c>
      <x:c r="O31" s="9" t="str">
        <x:v>PENDING</x:v>
      </x:c>
      <x:c r="P31" s="9" t="str">
        <x:v>HGNC:1176</x:v>
      </x:c>
    </x:row>
    <x:row r="32" ht="68" customHeight="1">
      <x:c r="A32" s="10" t="str">
        <x:v>PDIA6</x:v>
      </x:c>
      <x:c r="B32" s="9" t="str">
        <x:v>Acceptance vs public release</x:v>
      </x:c>
      <x:c r="C32" s="11" t="d">
        <x:v>2021-01-26T00:00:00.000Z</x:v>
      </x:c>
      <x:c r="D32" s="11" t="d">
        <x:v>2021-01-21T00:00:00.000Z</x:v>
      </x:c>
      <x:c r="E32" s="11" t="d">
        <x:v>2021-01-26T00:00:00.000Z</x:v>
      </x:c>
      <x:c r="F32" s="9" t="str">
        <x:v>Returned January 21 is acceptance. Wiley first publication is January 26, 2021. PubMed Electronic is February 17. Retain both sources and use the publisher's earlier first-public statement. The original January 26 is supported.</x:v>
      </x:c>
      <x:c r="G32" s="11" t="d">
        <x:v>2021-01-26T00:00:00.000Z</x:v>
      </x:c>
      <x:c r="H32" s="9" t="str">
        <x:v>Publisher First published</x:v>
      </x:c>
      <x:c r="I32" s="11" t="d">
        <x:v>2021-01-26T00:00:00.000Z</x:v>
      </x:c>
      <x:c r="J32" s="9" t="str">
        <x:v>Located day supported</x:v>
      </x:c>
      <x:c r="K32" s="9" t="str">
        <x:v>2021-01-01 to 2021-01-26</x:v>
      </x:c>
      <x:c r="L32" s="9" t="str">
        <x:v>33495992</x:v>
      </x:c>
      <x:c r="M32" s="9" t="str">
        <x:v>https://onlinelibrary.wiley.com/doi/10.1111/cge.13930</x:v>
      </x:c>
      <x:c r="N32" s="9" t="str">
        <x:v>PENDING</x:v>
      </x:c>
      <x:c r="O32" s="9" t="str">
        <x:v>PENDING</x:v>
      </x:c>
      <x:c r="P32" s="9" t="str">
        <x:v>HGNC:30168</x:v>
      </x:c>
    </x:row>
    <x:row r="33" ht="68" customHeight="1">
      <x:c r="A33" s="10" t="str">
        <x:v>PKHD1L1</x:v>
      </x:c>
      <x:c r="B33" s="9" t="str">
        <x:v>Preprint vs later journal</x:v>
      </x:c>
      <x:c r="C33" s="11" t="d">
        <x:v>2023-10-09T00:00:00.000Z</x:v>
      </x:c>
      <x:c r="D33" s="11" t="d">
        <x:v>2024-03-09T00:00:00.000Z</x:v>
      </x:c>
      <x:c r="E33" s="11" t="d">
        <x:v>2023-10-09T00:00:00.000Z</x:v>
      </x:c>
      <x:c r="F33" s="9" t="str">
        <x:v>Public preprint October 9, 2023 is independently documented. It coincides with journal receipt but is not inferred from receipt. Journal online March 9, 2024 and preprint v2 December 19, 2023 are later events.</x:v>
      </x:c>
      <x:c r="G33" s="11" t="d">
        <x:v>2023-10-09T00:00:00.000Z</x:v>
      </x:c>
      <x:c r="H33" s="9" t="str">
        <x:v>Public preprint v1</x:v>
      </x:c>
      <x:c r="I33" s="11" t="d">
        <x:v>2024-03-09T00:00:00.000Z</x:v>
      </x:c>
      <x:c r="J33" s="9" t="str">
        <x:v>Located day supported</x:v>
      </x:c>
      <x:c r="K33" s="9" t="str">
        <x:v>2023-01-01 to 2023-10-09</x:v>
      </x:c>
      <x:c r="L33" s="9" t="str">
        <x:v>38459354</x:v>
      </x:c>
      <x:c r="M33" s="9" t="str">
        <x:v>https://pmc.ncbi.nlm.nih.gov/articles/PMC10593026/</x:v>
      </x:c>
      <x:c r="N33" s="9" t="str">
        <x:v>PENDING</x:v>
      </x:c>
      <x:c r="O33" s="9" t="str">
        <x:v>PENDING</x:v>
      </x:c>
      <x:c r="P33" s="9" t="str">
        <x:v>HGNC:20313</x:v>
      </x:c>
    </x:row>
    <x:row r="34" ht="68" customHeight="1">
      <x:c r="A34" s="10" t="str">
        <x:v>PLCG1</x:v>
      </x:c>
      <x:c r="B34" s="9" t="str">
        <x:v>Different domain and publication versions</x:v>
      </x:c>
      <x:c r="C34" s="11" t="d">
        <x:v>2024-01-09T00:00:00.000Z</x:v>
      </x:c>
      <x:c r="D34" s="9" t="str">
        <x:v>2023-11-??
2025-08-17</x:v>
      </x:c>
      <x:c r="E34" s="11" t="d">
        <x:v>2024-01-09T00:00:00.000Z</x:v>
      </x:c>
      <x:c r="F34" s="9" t="str">
        <x:v>Separate 2023 immune report (online July 6, issue November) from sensory target preprint January 9, 2024, reviewed preprint April 19, 2024 and Version of Record August 27, 2025. Returned August 17 has no support in checked sources.</x:v>
      </x:c>
      <x:c r="G34" s="11" t="d">
        <x:v>2024-01-09T00:00:00.000Z</x:v>
      </x:c>
      <x:c r="H34" s="9" t="str">
        <x:v>Public target preprint</x:v>
      </x:c>
      <x:c r="I34" s="11" t="d">
        <x:v>2024-04-19T00:00:00.000Z</x:v>
      </x:c>
      <x:c r="J34" s="9" t="str">
        <x:v>Located day supported</x:v>
      </x:c>
      <x:c r="K34" s="9" t="str">
        <x:v>2024-01-01 to 2024-01-09</x:v>
      </x:c>
      <x:c r="L34" s="9" t="str">
        <x:v>40862571; 37422272</x:v>
      </x:c>
      <x:c r="M34" s="9" t="str">
        <x:v>https://elifesciences.org/reviewed-preprints/95887v1</x:v>
      </x:c>
      <x:c r="N34" s="9" t="str">
        <x:v>PENDING</x:v>
      </x:c>
      <x:c r="O34" s="9" t="str">
        <x:v>PENDING</x:v>
      </x:c>
      <x:c r="P34" s="9" t="str">
        <x:v>HGNC:9065</x:v>
      </x:c>
    </x:row>
    <x:row r="35" ht="52" customHeight="1">
      <x:c r="A35" s="10" t="str">
        <x:v>PSKH1</x:v>
      </x:c>
      <x:c r="B35" s="9" t="str">
        <x:v>Same first-public article date</x:v>
      </x:c>
      <x:c r="C35" s="11" t="d">
        <x:v>2024-08-09T00:00:00.000Z</x:v>
      </x:c>
      <x:c r="D35" s="11" t="d">
        <x:v>2024-08-09T00:00:00.000Z</x:v>
      </x:c>
      <x:c r="E35" s="11" t="d">
        <x:v>2024-08-09T00:00:00.000Z</x:v>
      </x:c>
      <x:c r="F35" s="9" t="str">
        <x:v>The original displayed date and returned date agree with the first located public journal date. No conflicting earlier event was identified in this bounded reconciliation.</x:v>
      </x:c>
      <x:c r="G35" s="11" t="d">
        <x:v>2024-08-09T00:00:00.000Z</x:v>
      </x:c>
      <x:c r="H35" s="9" t="str">
        <x:v>Electronic publication (PubMed)</x:v>
      </x:c>
      <x:c r="I35" s="11" t="d">
        <x:v>2024-08-09T00:00:00.000Z</x:v>
      </x:c>
      <x:c r="J35" s="9" t="str">
        <x:v>Located day supported</x:v>
      </x:c>
      <x:c r="K35" s="9" t="str">
        <x:v>2024-01-01 to 2024-08-09</x:v>
      </x:c>
      <x:c r="L35" s="9" t="str">
        <x:v>39132680</x:v>
      </x:c>
      <x:c r="M35" s="9" t="str">
        <x:v>https://doi.org/10.1016/j.gim.2024.101231</x:v>
      </x:c>
      <x:c r="N35" s="9" t="str">
        <x:v>PENDING</x:v>
      </x:c>
      <x:c r="O35" s="9" t="str">
        <x:v>PENDING</x:v>
      </x:c>
      <x:c r="P35" s="9" t="str">
        <x:v>HGNC:9529</x:v>
      </x:c>
    </x:row>
    <x:row r="36" ht="52" customHeight="1">
      <x:c r="A36" s="10" t="str">
        <x:v>RFC4</x:v>
      </x:c>
      <x:c r="B36" s="9" t="str">
        <x:v>Issue vs first online</x:v>
      </x:c>
      <x:c r="C36" s="11" t="d">
        <x:v>2024-08-05T00:00:00.000Z</x:v>
      </x:c>
      <x:c r="D36" s="11" t="d">
        <x:v>2024-09-05T00:00:00.000Z</x:v>
      </x:c>
      <x:c r="E36" s="11" t="d">
        <x:v>2024-08-05T00:00:00.000Z</x:v>
      </x:c>
      <x:c r="F36" s="9" t="str">
        <x:v>August 5, 2024 is the online publication date in the PDF history. September 5 is the issue date.</x:v>
      </x:c>
      <x:c r="G36" s="11" t="d">
        <x:v>2024-08-05T00:00:00.000Z</x:v>
      </x:c>
      <x:c r="H36" s="9" t="str">
        <x:v>Electronic publication (PubMed)</x:v>
      </x:c>
      <x:c r="I36" s="11" t="d">
        <x:v>2024-08-05T00:00:00.000Z</x:v>
      </x:c>
      <x:c r="J36" s="9" t="str">
        <x:v>Located day supported</x:v>
      </x:c>
      <x:c r="K36" s="9" t="str">
        <x:v>2024-01-01 to 2024-08-05</x:v>
      </x:c>
      <x:c r="L36" s="9" t="str">
        <x:v>39106866</x:v>
      </x:c>
      <x:c r="M36" s="9" t="str">
        <x:v>https://doi.org/10.1016/j.ajhg.2024.07.008</x:v>
      </x:c>
      <x:c r="N36" s="9" t="str">
        <x:v>PENDING</x:v>
      </x:c>
      <x:c r="O36" s="9" t="str">
        <x:v>PENDING</x:v>
      </x:c>
      <x:c r="P36" s="9" t="str">
        <x:v>HGNC:9972</x:v>
      </x:c>
    </x:row>
    <x:row r="37" ht="52" customHeight="1">
      <x:c r="A37" s="10" t="str">
        <x:v>RNF220</x:v>
      </x:c>
      <x:c r="B37" s="9" t="str">
        <x:v>Same first-public article date</x:v>
      </x:c>
      <x:c r="C37" s="11" t="d">
        <x:v>2021-05-08T00:00:00.000Z</x:v>
      </x:c>
      <x:c r="D37" s="11" t="d">
        <x:v>2021-05-08T00:00:00.000Z</x:v>
      </x:c>
      <x:c r="E37" s="11" t="d">
        <x:v>2021-05-08T00:00:00.000Z</x:v>
      </x:c>
      <x:c r="F37" s="9" t="str">
        <x:v>The original displayed date and returned date agree with the first located public journal date. No conflicting earlier event was identified in this bounded reconciliation.</x:v>
      </x:c>
      <x:c r="G37" s="11" t="d">
        <x:v>2021-05-08T00:00:00.000Z</x:v>
      </x:c>
      <x:c r="H37" s="9" t="str">
        <x:v>Advance access</x:v>
      </x:c>
      <x:c r="I37" s="11" t="d">
        <x:v>2021-05-08T00:00:00.000Z</x:v>
      </x:c>
      <x:c r="J37" s="9" t="str">
        <x:v>Located day supported</x:v>
      </x:c>
      <x:c r="K37" s="9" t="str">
        <x:v>2021-01-01 to 2021-05-08</x:v>
      </x:c>
      <x:c r="L37" s="9" t="str">
        <x:v>33964137</x:v>
      </x:c>
      <x:c r="M37" s="9" t="str">
        <x:v>https://doi.org/10.1093/brain/awab185</x:v>
      </x:c>
      <x:c r="N37" s="9" t="str">
        <x:v>PENDING</x:v>
      </x:c>
      <x:c r="O37" s="9" t="str">
        <x:v>PENDING</x:v>
      </x:c>
      <x:c r="P37" s="9" t="str">
        <x:v>HGNC:25552</x:v>
      </x:c>
    </x:row>
    <x:row r="38" ht="68" customHeight="1">
      <x:c r="A38" s="10" t="str">
        <x:v>RNU4-2</x:v>
      </x:c>
      <x:c r="B38" s="9" t="str">
        <x:v>Preprint vs later journal</x:v>
      </x:c>
      <x:c r="C38" s="11" t="d">
        <x:v>2025-01-06T00:00:00.000Z</x:v>
      </x:c>
      <x:c r="D38" s="11" t="d">
        <x:v>2026-01-09T00:00:00.000Z</x:v>
      </x:c>
      <x:c r="E38" s="11" t="d">
        <x:v>2025-01-06T00:00:00.000Z</x:v>
      </x:c>
      <x:c r="F38" s="9" t="str">
        <x:v>January 6, 2025 is the retinal target preprint. January 9, 2026 is journal online. The four RNU-labelled PDFs are the same shared study. Prior neurodevelopmental associations belong to another disease domain.</x:v>
      </x:c>
      <x:c r="G38" s="11" t="d">
        <x:v>2025-01-06T00:00:00.000Z</x:v>
      </x:c>
      <x:c r="H38" s="9" t="str">
        <x:v>Public retinal preprint v1</x:v>
      </x:c>
      <x:c r="I38" s="11" t="d">
        <x:v>2026-01-09T00:00:00.000Z</x:v>
      </x:c>
      <x:c r="J38" s="9" t="str">
        <x:v>Located day supported</x:v>
      </x:c>
      <x:c r="K38" s="9" t="str">
        <x:v>2025-01-01 to 2025-01-06</x:v>
      </x:c>
      <x:c r="L38" s="9" t="str">
        <x:v>41513982</x:v>
      </x:c>
      <x:c r="M38" s="9" t="str">
        <x:v>https://www.medrxiv.org/content/10.1101/2025.01.06.24317169v1.full.pdf</x:v>
      </x:c>
      <x:c r="N38" s="9" t="str">
        <x:v>PENDING</x:v>
      </x:c>
      <x:c r="O38" s="9" t="str">
        <x:v>PENDING</x:v>
      </x:c>
      <x:c r="P38" s="9" t="str">
        <x:v>HGNC:10193</x:v>
      </x:c>
    </x:row>
    <x:row r="39" ht="52" customHeight="1">
      <x:c r="A39" s="10" t="str">
        <x:v>RNU6-2</x:v>
      </x:c>
      <x:c r="B39" s="9" t="str">
        <x:v>Preprint vs later journal</x:v>
      </x:c>
      <x:c r="C39" s="11" t="d">
        <x:v>2025-01-06T00:00:00.000Z</x:v>
      </x:c>
      <x:c r="D39" s="11" t="d">
        <x:v>2026-01-09T00:00:00.000Z</x:v>
      </x:c>
      <x:c r="E39" s="11" t="d">
        <x:v>2025-01-06T00:00:00.000Z</x:v>
      </x:c>
      <x:c r="F39" s="9" t="str">
        <x:v>January 6, 2025 is the shared retinal preprint. January 9, 2026 is journal online. A filename is not an independent publication or a separate validation.</x:v>
      </x:c>
      <x:c r="G39" s="11" t="d">
        <x:v>2025-01-06T00:00:00.000Z</x:v>
      </x:c>
      <x:c r="H39" s="9" t="str">
        <x:v>Public retinal preprint v1</x:v>
      </x:c>
      <x:c r="I39" s="11" t="d">
        <x:v>2026-01-09T00:00:00.000Z</x:v>
      </x:c>
      <x:c r="J39" s="9" t="str">
        <x:v>Located day supported</x:v>
      </x:c>
      <x:c r="K39" s="9" t="str">
        <x:v>2025-01-01 to 2025-01-06</x:v>
      </x:c>
      <x:c r="L39" s="9" t="str">
        <x:v>41513982</x:v>
      </x:c>
      <x:c r="M39" s="9" t="str">
        <x:v>https://www.medrxiv.org/content/10.1101/2025.01.06.24317169v1.full.pdf</x:v>
      </x:c>
      <x:c r="N39" s="9" t="str">
        <x:v>PENDING</x:v>
      </x:c>
      <x:c r="O39" s="9" t="str">
        <x:v>PENDING</x:v>
      </x:c>
      <x:c r="P39" s="9" t="str">
        <x:v>HGNC:34270</x:v>
      </x:c>
    </x:row>
    <x:row r="40" ht="52" customHeight="1">
      <x:c r="A40" s="10" t="str">
        <x:v>RNU6-8</x:v>
      </x:c>
      <x:c r="B40" s="9" t="str">
        <x:v>Preprint vs later journal</x:v>
      </x:c>
      <x:c r="C40" s="11" t="d">
        <x:v>2025-01-06T00:00:00.000Z</x:v>
      </x:c>
      <x:c r="D40" s="11" t="d">
        <x:v>2026-01-09T00:00:00.000Z</x:v>
      </x:c>
      <x:c r="E40" s="11" t="d">
        <x:v>2025-01-06T00:00:00.000Z</x:v>
      </x:c>
      <x:c r="F40" s="9" t="str">
        <x:v>January 6, 2025 is the shared retinal preprint. January 9, 2026 is journal online. A filename is not an independent publication or a separate validation.</x:v>
      </x:c>
      <x:c r="G40" s="11" t="d">
        <x:v>2025-01-06T00:00:00.000Z</x:v>
      </x:c>
      <x:c r="H40" s="9" t="str">
        <x:v>Public retinal preprint v1</x:v>
      </x:c>
      <x:c r="I40" s="11" t="d">
        <x:v>2026-01-09T00:00:00.000Z</x:v>
      </x:c>
      <x:c r="J40" s="9" t="str">
        <x:v>Located day supported</x:v>
      </x:c>
      <x:c r="K40" s="9" t="str">
        <x:v>2025-01-01 to 2025-01-06</x:v>
      </x:c>
      <x:c r="L40" s="9" t="str">
        <x:v>41513982</x:v>
      </x:c>
      <x:c r="M40" s="9" t="str">
        <x:v>https://www.medrxiv.org/content/10.1101/2025.01.06.24317169v1.full.pdf</x:v>
      </x:c>
      <x:c r="N40" s="9" t="str">
        <x:v>PENDING</x:v>
      </x:c>
      <x:c r="O40" s="9" t="str">
        <x:v>PENDING</x:v>
      </x:c>
      <x:c r="P40" s="9" t="str">
        <x:v>HGNC:34285</x:v>
      </x:c>
    </x:row>
    <x:row r="41" ht="52" customHeight="1">
      <x:c r="A41" s="10" t="str">
        <x:v>RNU6-9</x:v>
      </x:c>
      <x:c r="B41" s="9" t="str">
        <x:v>Preprint vs later journal</x:v>
      </x:c>
      <x:c r="C41" s="11" t="d">
        <x:v>2025-01-06T00:00:00.000Z</x:v>
      </x:c>
      <x:c r="D41" s="11" t="d">
        <x:v>2026-01-09T00:00:00.000Z</x:v>
      </x:c>
      <x:c r="E41" s="11" t="d">
        <x:v>2025-01-06T00:00:00.000Z</x:v>
      </x:c>
      <x:c r="F41" s="9" t="str">
        <x:v>January 6, 2025 is the shared retinal preprint. January 9, 2026 is journal online. A filename is not an independent publication or a separate validation.</x:v>
      </x:c>
      <x:c r="G41" s="11" t="d">
        <x:v>2025-01-06T00:00:00.000Z</x:v>
      </x:c>
      <x:c r="H41" s="9" t="str">
        <x:v>Public retinal preprint v1</x:v>
      </x:c>
      <x:c r="I41" s="11" t="d">
        <x:v>2026-01-09T00:00:00.000Z</x:v>
      </x:c>
      <x:c r="J41" s="9" t="str">
        <x:v>Located day supported</x:v>
      </x:c>
      <x:c r="K41" s="9" t="str">
        <x:v>2025-01-01 to 2025-01-06</x:v>
      </x:c>
      <x:c r="L41" s="9" t="str">
        <x:v>41513982</x:v>
      </x:c>
      <x:c r="M41" s="9" t="str">
        <x:v>https://www.medrxiv.org/content/10.1101/2025.01.06.24317169v1.full.pdf</x:v>
      </x:c>
      <x:c r="N41" s="9" t="str">
        <x:v>PENDING</x:v>
      </x:c>
      <x:c r="O41" s="9" t="str">
        <x:v>PENDING</x:v>
      </x:c>
      <x:c r="P41" s="9" t="str">
        <x:v>HGNC:34269</x:v>
      </x:c>
    </x:row>
    <x:row r="42" ht="68" customHeight="1">
      <x:c r="A42" s="10" t="str">
        <x:v>RSG1</x:v>
      </x:c>
      <x:c r="B42" s="9" t="str">
        <x:v>Preprint vs later journal</x:v>
      </x:c>
      <x:c r="C42" s="11" t="d">
        <x:v>2024-09-26T00:00:00.000Z</x:v>
      </x:c>
      <x:c r="D42" s="11" t="d">
        <x:v>2025-07-01T00:00:00.000Z</x:v>
      </x:c>
      <x:c r="E42" s="11" t="d">
        <x:v>2024-09-26T00:00:00.000Z</x:v>
      </x:c>
      <x:c r="F42" s="9" t="str">
        <x:v>Registry-confirmed target preprint September 26, 2024 precedes journal online July 1, 2025. The direct preprint page was unavailable during this audit, so the registry and accessible journal record are distinguished.</x:v>
      </x:c>
      <x:c r="G42" s="11" t="d">
        <x:v>2024-09-26T00:00:00.000Z</x:v>
      </x:c>
      <x:c r="H42" s="9" t="str">
        <x:v>Public preprint v1</x:v>
      </x:c>
      <x:c r="I42" s="11" t="d">
        <x:v>2025-07-01T00:00:00.000Z</x:v>
      </x:c>
      <x:c r="J42" s="9" t="str">
        <x:v>Located day supported</x:v>
      </x:c>
      <x:c r="K42" s="9" t="str">
        <x:v>2024-01-01 to 2024-09-26</x:v>
      </x:c>
      <x:c r="L42" s="9" t="str">
        <x:v>40593758</x:v>
      </x:c>
      <x:c r="M42" s="9" t="str">
        <x:v>https://www.biorxiv.org/content/10.1101/2024.09.25.614984v1</x:v>
      </x:c>
      <x:c r="N42" s="9" t="str">
        <x:v>PENDING</x:v>
      </x:c>
      <x:c r="O42" s="9" t="str">
        <x:v>PENDING</x:v>
      </x:c>
      <x:c r="P42" s="9" t="str">
        <x:v>HGNC:28127</x:v>
      </x:c>
    </x:row>
    <x:row r="43" ht="52" customHeight="1">
      <x:c r="A43" s="10" t="str">
        <x:v>SAXO6</x:v>
      </x:c>
      <x:c r="B43" s="9" t="str">
        <x:v>Issue vs first online</x:v>
      </x:c>
      <x:c r="C43" s="11" t="d">
        <x:v>2026-02-24T00:00:00.000Z</x:v>
      </x:c>
      <x:c r="D43" s="11" t="d">
        <x:v>2026-03-05T00:00:00.000Z</x:v>
      </x:c>
      <x:c r="E43" s="11" t="d">
        <x:v>2026-02-24T00:00:00.000Z</x:v>
      </x:c>
      <x:c r="F43" s="9" t="str">
        <x:v>February 24, 2026 is online publication. March 5 is the issue date.</x:v>
      </x:c>
      <x:c r="G43" s="11" t="d">
        <x:v>2026-02-24T00:00:00.000Z</x:v>
      </x:c>
      <x:c r="H43" s="9" t="str">
        <x:v>Electronic publication (PubMed)</x:v>
      </x:c>
      <x:c r="I43" s="11" t="d">
        <x:v>2026-02-24T00:00:00.000Z</x:v>
      </x:c>
      <x:c r="J43" s="9" t="str">
        <x:v>Located day supported</x:v>
      </x:c>
      <x:c r="K43" s="9" t="str">
        <x:v>2026-01-01 to 2026-02-24</x:v>
      </x:c>
      <x:c r="L43" s="9" t="str">
        <x:v>41742423</x:v>
      </x:c>
      <x:c r="M43" s="9" t="str">
        <x:v>https://doi.org/10.1016/j.ajhg.2026.02.001</x:v>
      </x:c>
      <x:c r="N43" s="9" t="str">
        <x:v>PENDING</x:v>
      </x:c>
      <x:c r="O43" s="9" t="str">
        <x:v>PENDING</x:v>
      </x:c>
      <x:c r="P43" s="9" t="str">
        <x:v>HGNC:29917</x:v>
      </x:c>
    </x:row>
    <x:row r="44" ht="52" customHeight="1">
      <x:c r="A44" s="10" t="str">
        <x:v>SCNM1</x:v>
      </x:c>
      <x:c r="B44" s="9" t="str">
        <x:v>Issue vs first online</x:v>
      </x:c>
      <x:c r="C44" s="11" t="d">
        <x:v>2022-09-08T00:00:00.000Z</x:v>
      </x:c>
      <x:c r="D44" s="11" t="d">
        <x:v>2022-10-06T00:00:00.000Z</x:v>
      </x:c>
      <x:c r="E44" s="11" t="d">
        <x:v>2022-09-08T00:00:00.000Z</x:v>
      </x:c>
      <x:c r="F44" s="9" t="str">
        <x:v>September 8, 2022 is online publication in the PDF history. October 6 is the issue date.</x:v>
      </x:c>
      <x:c r="G44" s="11" t="d">
        <x:v>2022-09-08T00:00:00.000Z</x:v>
      </x:c>
      <x:c r="H44" s="9" t="str">
        <x:v>Electronic publication (PubMed)</x:v>
      </x:c>
      <x:c r="I44" s="11" t="d">
        <x:v>2022-09-08T00:00:00.000Z</x:v>
      </x:c>
      <x:c r="J44" s="9" t="str">
        <x:v>Located day supported</x:v>
      </x:c>
      <x:c r="K44" s="9" t="str">
        <x:v>2022-01-01 to 2022-09-08</x:v>
      </x:c>
      <x:c r="L44" s="9" t="str">
        <x:v>36084634</x:v>
      </x:c>
      <x:c r="M44" s="9" t="str">
        <x:v>https://doi.org/10.1016/j.ajhg.2022.08.009</x:v>
      </x:c>
      <x:c r="N44" s="9" t="str">
        <x:v>PENDING</x:v>
      </x:c>
      <x:c r="O44" s="9" t="str">
        <x:v>PENDING</x:v>
      </x:c>
      <x:c r="P44" s="9" t="str">
        <x:v>HGNC:23136</x:v>
      </x:c>
    </x:row>
    <x:row r="45" ht="52" customHeight="1">
      <x:c r="A45" s="10" t="str">
        <x:v>SLC66A1</x:v>
      </x:c>
      <x:c r="B45" s="9" t="str">
        <x:v>Same first-public article date</x:v>
      </x:c>
      <x:c r="C45" s="11" t="d">
        <x:v>2022-04-29T00:00:00.000Z</x:v>
      </x:c>
      <x:c r="D45" s="11" t="d">
        <x:v>2022-04-29T00:00:00.000Z</x:v>
      </x:c>
      <x:c r="E45" s="11" t="d">
        <x:v>2022-04-29T00:00:00.000Z</x:v>
      </x:c>
      <x:c r="F45" s="9" t="str">
        <x:v>The original displayed date and returned date agree with the first located public journal date. No conflicting earlier event was identified in this bounded reconciliation.</x:v>
      </x:c>
      <x:c r="G45" s="11" t="d">
        <x:v>2022-04-29T00:00:00.000Z</x:v>
      </x:c>
      <x:c r="H45" s="9" t="str">
        <x:v>Electronic publication (PubMed)</x:v>
      </x:c>
      <x:c r="I45" s="11" t="d">
        <x:v>2022-04-29T00:00:00.000Z</x:v>
      </x:c>
      <x:c r="J45" s="9" t="str">
        <x:v>Located day supported</x:v>
      </x:c>
      <x:c r="K45" s="9" t="str">
        <x:v>2022-01-01 to 2022-04-29</x:v>
      </x:c>
      <x:c r="L45" s="9" t="str">
        <x:v>35486108</x:v>
      </x:c>
      <x:c r="M45" s="9" t="str">
        <x:v>https://doi.org/10.1016/j.gim.2022.03.020</x:v>
      </x:c>
      <x:c r="N45" s="9" t="str">
        <x:v>PENDING</x:v>
      </x:c>
      <x:c r="O45" s="9" t="str">
        <x:v>PENDING</x:v>
      </x:c>
      <x:c r="P45" s="9" t="str">
        <x:v>HGNC:26001</x:v>
      </x:c>
    </x:row>
    <x:row r="46" ht="52" customHeight="1">
      <x:c r="A46" s="10" t="str">
        <x:v>SPATA5L1</x:v>
      </x:c>
      <x:c r="B46" s="9" t="str">
        <x:v>Same first-public article date</x:v>
      </x:c>
      <x:c r="C46" s="11" t="d">
        <x:v>2021-10-07T00:00:00.000Z</x:v>
      </x:c>
      <x:c r="D46" s="11" t="d">
        <x:v>2021-10-07T00:00:00.000Z</x:v>
      </x:c>
      <x:c r="E46" s="11" t="d">
        <x:v>2021-10-07T00:00:00.000Z</x:v>
      </x:c>
      <x:c r="F46" s="9" t="str">
        <x:v>The original displayed date and returned date agree with the first located public journal date. No conflicting earlier event was identified in this bounded reconciliation.</x:v>
      </x:c>
      <x:c r="G46" s="11" t="d">
        <x:v>2021-10-07T00:00:00.000Z</x:v>
      </x:c>
      <x:c r="H46" s="9" t="str">
        <x:v>Published (PDF history)</x:v>
      </x:c>
      <x:c r="I46" s="11" t="d">
        <x:v>2021-10-07T00:00:00.000Z</x:v>
      </x:c>
      <x:c r="J46" s="9" t="str">
        <x:v>Located day supported</x:v>
      </x:c>
      <x:c r="K46" s="9" t="str">
        <x:v>2021-01-01 to 2021-10-07</x:v>
      </x:c>
      <x:c r="L46" s="9" t="str">
        <x:v>34626583</x:v>
      </x:c>
      <x:c r="M46" s="9" t="str">
        <x:v>https://doi.org/10.1016/j.ajhg.2021.08.003</x:v>
      </x:c>
      <x:c r="N46" s="9" t="str">
        <x:v>PENDING</x:v>
      </x:c>
      <x:c r="O46" s="9" t="str">
        <x:v>PENDING</x:v>
      </x:c>
      <x:c r="P46" s="9" t="str">
        <x:v>HGNC:28762</x:v>
      </x:c>
    </x:row>
    <x:row r="47" ht="104" customHeight="1">
      <x:c r="A47" s="10" t="str">
        <x:v>STX3</x:v>
      </x:c>
      <x:c r="B47" s="9" t="str">
        <x:v>Multiple valid date/domain events</x:v>
      </x:c>
      <x:c r="C47" s="11" t="d">
        <x:v>2021-05-11T00:00:00.000Z</x:v>
      </x:c>
      <x:c r="D47" s="9" t="str">
        <x:v>2021-05-11
Wiegerinck et al. (2014) 就有 report microvillus inclusion disease
https://doi. org/10.1053/j.gastro.2014.04.002</x:v>
      </x:c>
      <x:c r="E47" s="11" t="d">
        <x:v>2021-05-11T00:00:00.000Z</x:v>
      </x:c>
      <x:c r="F47" s="9" t="str">
        <x:v>The May 11, 2021 retinal target report is distinct from the 2014 intestinal microvillus-inclusion association. A previous non-target disease is not automatically a pre-cutoff target association.</x:v>
      </x:c>
      <x:c r="G47" s="11" t="d">
        <x:v>2021-05-11T00:00:00.000Z</x:v>
      </x:c>
      <x:c r="H47" s="9" t="str">
        <x:v>Electronic publication (PubMed)</x:v>
      </x:c>
      <x:c r="I47" s="11" t="d">
        <x:v>2021-05-11T00:00:00.000Z</x:v>
      </x:c>
      <x:c r="J47" s="9" t="str">
        <x:v>Located day supported</x:v>
      </x:c>
      <x:c r="K47" s="9" t="str">
        <x:v>2021-01-01 to 2021-05-11</x:v>
      </x:c>
      <x:c r="L47" s="9" t="str">
        <x:v>33974130</x:v>
      </x:c>
      <x:c r="M47" s="9" t="str">
        <x:v>https://doi.org/10.1007/s00439-021-02284-1</x:v>
      </x:c>
      <x:c r="N47" s="9" t="str">
        <x:v>PENDING</x:v>
      </x:c>
      <x:c r="O47" s="9" t="str">
        <x:v>PENDING</x:v>
      </x:c>
      <x:c r="P47" s="9" t="str">
        <x:v>HGNC:11438</x:v>
      </x:c>
    </x:row>
    <x:row r="48" ht="86" customHeight="1">
      <x:c r="A48" s="10" t="str">
        <x:v>TMEM72</x:v>
      </x:c>
      <x:c r="B48" s="9" t="str">
        <x:v>Earlier conference timing uncertain</x:v>
      </x:c>
      <x:c r="C48" s="11" t="d">
        <x:v>2021-08-31T00:00:00.000Z</x:v>
      </x:c>
      <x:c r="D48" s="11" t="d">
        <x:v>2025-11-27T00:00:00.000Z</x:v>
      </x:c>
      <x:c r="E48" s="11"/>
      <x:c r="F48" s="9" t="str">
        <x:v>Official ESHG programme schedules the target report August 31, 2021 and the published meeting abstract is April 2022. The full paper was online November 27, 2025 and in the April 2026 issue. Exact first abstract-release day remains unresolved. Keep frozen interval 2021-01-01 to 2022-04-30 rather than label 2021 as journal publication.</x:v>
      </x:c>
      <x:c r="G48" s="12" t="str">
        <x:v>2022-04</x:v>
      </x:c>
      <x:c r="H48" s="9" t="str">
        <x:v>Published meeting abstract (month only)</x:v>
      </x:c>
      <x:c r="I48" s="11" t="d">
        <x:v>2025-11-27T00:00:00.000Z</x:v>
      </x:c>
      <x:c r="J48" s="9" t="str">
        <x:v>Interval retained</x:v>
      </x:c>
      <x:c r="K48" s="9" t="str">
        <x:v>2021-01-01 to 2022-04-30</x:v>
      </x:c>
      <x:c r="L48" s="9" t="str">
        <x:v>41308066</x:v>
      </x:c>
      <x:c r="M48" s="9" t="str">
        <x:v>https://www.nature.com/articles/s41431-021-01025-2.pdf</x:v>
      </x:c>
      <x:c r="N48" s="9" t="str">
        <x:v>PENDING</x:v>
      </x:c>
      <x:c r="O48" s="9" t="str">
        <x:v>PENDING</x:v>
      </x:c>
      <x:c r="P48" s="9" t="str">
        <x:v>HGNC:31658</x:v>
      </x:c>
    </x:row>
    <x:row r="49" ht="52" customHeight="1">
      <x:c r="A49" s="10" t="str">
        <x:v>TP73</x:v>
      </x:c>
      <x:c r="B49" s="9" t="str">
        <x:v>Issue vs first online</x:v>
      </x:c>
      <x:c r="C49" s="11" t="d">
        <x:v>2021-06-01T00:00:00.000Z</x:v>
      </x:c>
      <x:c r="D49" s="11" t="d">
        <x:v>2021-07-01T00:00:00.000Z</x:v>
      </x:c>
      <x:c r="E49" s="11" t="d">
        <x:v>2021-06-01T00:00:00.000Z</x:v>
      </x:c>
      <x:c r="F49" s="9" t="str">
        <x:v>June 1, 2021 is online publication. July 1 is the issue date.</x:v>
      </x:c>
      <x:c r="G49" s="11" t="d">
        <x:v>2021-06-01T00:00:00.000Z</x:v>
      </x:c>
      <x:c r="H49" s="9" t="str">
        <x:v>Electronic publication (PubMed)</x:v>
      </x:c>
      <x:c r="I49" s="11" t="d">
        <x:v>2021-06-01T00:00:00.000Z</x:v>
      </x:c>
      <x:c r="J49" s="9" t="str">
        <x:v>Located day supported</x:v>
      </x:c>
      <x:c r="K49" s="9" t="str">
        <x:v>2021-01-01 to 2021-06-01</x:v>
      </x:c>
      <x:c r="L49" s="9" t="str">
        <x:v>34077761</x:v>
      </x:c>
      <x:c r="M49" s="9" t="str">
        <x:v>https://doi.org/10.1016/j.ajhg.2021.05.002</x:v>
      </x:c>
      <x:c r="N49" s="9" t="str">
        <x:v>PENDING</x:v>
      </x:c>
      <x:c r="O49" s="9" t="str">
        <x:v>PENDING</x:v>
      </x:c>
      <x:c r="P49" s="9" t="str">
        <x:v>HGNC:12003</x:v>
      </x:c>
    </x:row>
    <x:row r="50" ht="52" customHeight="1">
      <x:c r="A50" s="10" t="str">
        <x:v>UBAP1L</x:v>
      </x:c>
      <x:c r="B50" s="9" t="str">
        <x:v>Same first-public article date</x:v>
      </x:c>
      <x:c r="C50" s="11" t="d">
        <x:v>2024-01-28T00:00:00.000Z</x:v>
      </x:c>
      <x:c r="D50" s="11" t="d">
        <x:v>2024-01-28T00:00:00.000Z</x:v>
      </x:c>
      <x:c r="E50" s="11" t="d">
        <x:v>2024-01-28T00:00:00.000Z</x:v>
      </x:c>
      <x:c r="F50" s="9" t="str">
        <x:v>The original displayed date and returned date agree with the first located public journal date. No conflicting earlier event was identified in this bounded reconciliation.</x:v>
      </x:c>
      <x:c r="G50" s="11" t="d">
        <x:v>2024-01-28T00:00:00.000Z</x:v>
      </x:c>
      <x:c r="H50" s="9" t="str">
        <x:v>Electronic publication (PubMed)</x:v>
      </x:c>
      <x:c r="I50" s="11" t="d">
        <x:v>2024-01-28T00:00:00.000Z</x:v>
      </x:c>
      <x:c r="J50" s="9" t="str">
        <x:v>Located day supported</x:v>
      </x:c>
      <x:c r="K50" s="9" t="str">
        <x:v>2024-01-01 to 2024-01-28</x:v>
      </x:c>
      <x:c r="L50" s="9" t="str">
        <x:v>38293907</x:v>
      </x:c>
      <x:c r="M50" s="9" t="str">
        <x:v>https://doi.org/10.1016/j.gim.2024.101081</x:v>
      </x:c>
      <x:c r="N50" s="9" t="str">
        <x:v>PENDING</x:v>
      </x:c>
      <x:c r="O50" s="9" t="str">
        <x:v>PENDING</x:v>
      </x:c>
      <x:c r="P50" s="9" t="str">
        <x:v>HGNC:40028</x:v>
      </x:c>
    </x:row>
    <x:row r="51" ht="52" customHeight="1">
      <x:c r="A51" s="10" t="str">
        <x:v>USP48</x:v>
      </x:c>
      <x:c r="B51" s="9" t="str">
        <x:v>Acceptance vs public release</x:v>
      </x:c>
      <x:c r="C51" s="11" t="d">
        <x:v>2021-05-31T00:00:00.000Z</x:v>
      </x:c>
      <x:c r="D51" s="11" t="d">
        <x:v>2021-05-25T00:00:00.000Z</x:v>
      </x:c>
      <x:c r="E51" s="11" t="d">
        <x:v>2021-05-31T00:00:00.000Z</x:v>
      </x:c>
      <x:c r="F51" s="9" t="str">
        <x:v>Returned May 25 is acceptance. Advance access is May 31, 2021 in supplied PDF p.1.</x:v>
      </x:c>
      <x:c r="G51" s="11" t="d">
        <x:v>2021-05-31T00:00:00.000Z</x:v>
      </x:c>
      <x:c r="H51" s="9" t="str">
        <x:v>Advance access</x:v>
      </x:c>
      <x:c r="I51" s="11" t="d">
        <x:v>2021-05-31T00:00:00.000Z</x:v>
      </x:c>
      <x:c r="J51" s="9" t="str">
        <x:v>Located day supported</x:v>
      </x:c>
      <x:c r="K51" s="9" t="str">
        <x:v>2021-01-01 to 2021-05-31</x:v>
      </x:c>
      <x:c r="L51" s="9" t="str">
        <x:v>34059922</x:v>
      </x:c>
      <x:c r="M51" s="9" t="str">
        <x:v>https://doi.org/10.1093/hmg/ddab145</x:v>
      </x:c>
      <x:c r="N51" s="9" t="str">
        <x:v>PENDING</x:v>
      </x:c>
      <x:c r="O51" s="9" t="str">
        <x:v>PENDING</x:v>
      </x:c>
      <x:c r="P51" s="9" t="str">
        <x:v>HGNC:18533</x:v>
      </x:c>
    </x:row>
    <x:row r="52" ht="86" customHeight="1">
      <x:c r="A52" s="10" t="str">
        <x:v>VWA8</x:v>
      </x:c>
      <x:c r="B52" s="9" t="str">
        <x:v>Prior non-target disease report</x:v>
      </x:c>
      <x:c r="C52" s="11" t="d">
        <x:v>2023-04-03T00:00:00.000Z</x:v>
      </x:c>
      <x:c r="D52" s="11" t="d">
        <x:v>2021-10-01T00:00:00.000Z</x:v>
      </x:c>
      <x:c r="E52" s="11" t="d">
        <x:v>2023-04-03T00:00:00.000Z</x:v>
      </x:c>
      <x:c r="F52" s="9" t="str">
        <x:v>The supplied October 1, 2021 report concerns a prior neurodevelopmental disorder. The target retinal report PMID 37012052 was online April 3, 2023, checked in fresh metadata; independent later retinal PMID 40638000 was online July 10, 2025. Neither retinal report is in the ZIP. Do not replace target timing with the earlier non-target date.</x:v>
      </x:c>
      <x:c r="G52" s="11" t="d">
        <x:v>2023-04-03T00:00:00.000Z</x:v>
      </x:c>
      <x:c r="H52" s="9" t="str">
        <x:v>Target retinal report outside ZIP</x:v>
      </x:c>
      <x:c r="I52" s="11" t="d">
        <x:v>2023-04-03T00:00:00.000Z</x:v>
      </x:c>
      <x:c r="J52" s="9" t="str">
        <x:v>Located day supported</x:v>
      </x:c>
      <x:c r="K52" s="9" t="str">
        <x:v>2023-01-01 to 2023-04-03</x:v>
      </x:c>
      <x:c r="L52" s="9" t="str">
        <x:v>34660594</x:v>
      </x:c>
      <x:c r="M52" s="9" t="str">
        <x:v>https://pubmed.ncbi.nlm.nih.gov/37012052/</x:v>
      </x:c>
      <x:c r="N52" s="9" t="str">
        <x:v>PENDING</x:v>
      </x:c>
      <x:c r="O52" s="9" t="str">
        <x:v>PENDING</x:v>
      </x:c>
      <x:c r="P52" s="9" t="str">
        <x:v>HGNC:29071</x:v>
      </x:c>
    </x:row>
    <x:row r="53" ht="52" customHeight="1">
      <x:c r="A53" s="10" t="str">
        <x:v>XXYLT1</x:v>
      </x:c>
      <x:c r="B53" s="9" t="str">
        <x:v>Same first-public article date</x:v>
      </x:c>
      <x:c r="C53" s="11" t="d">
        <x:v>2026-07-30T00:00:00.000Z</x:v>
      </x:c>
      <x:c r="D53" s="11" t="d">
        <x:v>2026-07-30T00:00:00.000Z</x:v>
      </x:c>
      <x:c r="E53" s="11" t="d">
        <x:v>2026-07-30T00:00:00.000Z</x:v>
      </x:c>
      <x:c r="F53" s="9" t="str">
        <x:v>July 30, 2026 online publication is explicit in supplied PDF. September 1 issue and May 31 acceptance are different events.</x:v>
      </x:c>
      <x:c r="G53" s="11" t="d">
        <x:v>2026-07-30T00:00:00.000Z</x:v>
      </x:c>
      <x:c r="H53" s="9" t="str">
        <x:v>Published online</x:v>
      </x:c>
      <x:c r="I53" s="11" t="d">
        <x:v>2026-07-30T00:00:00.000Z</x:v>
      </x:c>
      <x:c r="J53" s="9" t="str">
        <x:v>Located day supported</x:v>
      </x:c>
      <x:c r="K53" s="9" t="str">
        <x:v>2026-01-01 to 2026-07-30</x:v>
      </x:c>
      <x:c r="L53" s="9" t="str">
        <x:v>42530953</x:v>
      </x:c>
      <x:c r="M53" s="9" t="str">
        <x:v>https://doi.org/10.1001/jamaophthalmol.2026.2795</x:v>
      </x:c>
      <x:c r="N53" s="9" t="str">
        <x:v>PENDING</x:v>
      </x:c>
      <x:c r="O53" s="9" t="str">
        <x:v>PENDING</x:v>
      </x:c>
      <x:c r="P53" s="9" t="str">
        <x:v>HGNC:26639</x:v>
      </x:c>
    </x:row>
    <x:row r="54">
      <x:c r="A54" s="2"/>
      <x:c r="B54" s="2"/>
      <x:c r="C54" s="2"/>
      <x:c r="D54" s="2"/>
      <x:c r="E54" s="2"/>
      <x:c r="F54" s="2"/>
      <x:c r="G54" s="2"/>
      <x:c r="H54" s="2"/>
      <x:c r="I54" s="2"/>
      <x:c r="J54" s="2"/>
      <x:c r="K54" s="2"/>
      <x:c r="L54" s="2"/>
      <x:c r="M54" s="2"/>
      <x:c r="N54" s="2"/>
      <x:c r="O54" s="2"/>
      <x:c r="P54" s="2"/>
    </x:row>
  </x:sheetData>
  <x:conditionalFormatting sqref="J9:J53">
    <x:cfRule type="containsText" dxfId="0" priority="1" operator="containsText" text="Interval retained"/>
  </x:conditionalFormatting>
  <x:conditionalFormatting sqref="B9:B53">
    <x:cfRule type="containsText" dxfId="1" priority="2" operator="containsText" text="unsupported"/>
  </x:conditionalFormatting>
  <x:pageMargins left="0.7" right="0.7" top="0.75" bottom="0.75" header="0.3" footer="0.3"/>
  <x:tableParts count="1">
    <x:tablePart xmlns:r="http://schemas.openxmlformats.org/officeDocument/2006/relationships" r:id="R7f82369fc1dc480f"/>
  </x:tableParts>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5" hidden="0" customWidth="1"/>
    <x:col min="2" max="2" width="14" hidden="0" customWidth="1"/>
    <x:col min="3" max="3" width="22" hidden="0" customWidth="1"/>
    <x:col min="4" max="4" width="21" hidden="0" customWidth="1"/>
    <x:col min="5" max="5" width="22" hidden="0" customWidth="1"/>
    <x:col min="6" max="6" width="24" hidden="0" customWidth="1"/>
    <x:col min="7" max="7" width="37" hidden="0" customWidth="1"/>
    <x:col min="8" max="8" width="26" hidden="0" customWidth="1"/>
    <x:col min="9" max="9" width="25" hidden="0" customWidth="1"/>
    <x:col min="10" max="10" width="25" hidden="0" customWidth="1"/>
    <x:col min="11" max="11" width="18" hidden="0" customWidth="1"/>
    <x:col min="12" max="12" width="58" hidden="0" customWidth="1"/>
    <x:col min="13" max="13" width="94" hidden="0" customWidth="1"/>
    <x:col min="14" max="14" width="72" hidden="0" customWidth="1"/>
    <x:col min="15" max="15" width="42" hidden="0" customWidth="1"/>
    <x:col min="16" max="16" width="26" hidden="0" customWidth="1"/>
    <x:col min="17" max="17" width="92" hidden="0" customWidth="1"/>
    <x:col min="18" max="18" width="74" hidden="0" customWidth="1"/>
  </x:cols>
  <x:sheetData>
    <x:row r="1">
      <x:c r="A1" s="2"/>
      <x:c r="B1" s="2"/>
      <x:c r="C1" s="2"/>
      <x:c r="D1" s="2"/>
      <x:c r="E1" s="2"/>
      <x:c r="F1" s="2"/>
      <x:c r="G1" s="2"/>
      <x:c r="H1" s="2"/>
      <x:c r="I1" s="2"/>
      <x:c r="J1" s="2"/>
      <x:c r="K1" s="2"/>
      <x:c r="L1" s="2"/>
      <x:c r="M1" s="2"/>
      <x:c r="N1" s="2"/>
      <x:c r="O1" s="2"/>
      <x:c r="P1" s="2"/>
      <x:c r="Q1" s="2"/>
      <x:c r="R1" s="2"/>
    </x:row>
    <x:row r="2" ht="30" customHeight="1">
      <x:c r="A2" s="3" t="str">
        <x:v>Publication chronology for all supplied articles</x:v>
      </x:c>
      <x:c r="B2" s="2"/>
      <x:c r="C2" s="2"/>
      <x:c r="D2" s="2"/>
      <x:c r="E2" s="2"/>
      <x:c r="F2" s="2"/>
      <x:c r="G2" s="2"/>
      <x:c r="H2" s="2"/>
      <x:c r="I2" s="2"/>
      <x:c r="J2" s="2"/>
      <x:c r="K2" s="2"/>
      <x:c r="L2" s="2"/>
      <x:c r="M2" s="2"/>
      <x:c r="N2" s="2"/>
      <x:c r="O2" s="2"/>
      <x:c r="P2" s="2"/>
      <x:c r="Q2" s="2"/>
      <x:c r="R2" s="2"/>
    </x:row>
    <x:row r="3">
      <x:c r="A3" s="2" t="str">
        <x:v>43 distinct PMID labels. Editorial dates and each public version are separate. Blank means not recorded in checked sources.</x:v>
      </x:c>
      <x:c r="B3" s="2"/>
      <x:c r="C3" s="2"/>
      <x:c r="D3" s="2"/>
      <x:c r="E3" s="2"/>
      <x:c r="F3" s="2"/>
      <x:c r="G3" s="2"/>
      <x:c r="H3" s="2"/>
      <x:c r="I3" s="2"/>
      <x:c r="J3" s="2"/>
      <x:c r="K3" s="2"/>
      <x:c r="L3" s="2"/>
      <x:c r="M3" s="2"/>
      <x:c r="N3" s="2"/>
      <x:c r="O3" s="2"/>
      <x:c r="P3" s="2"/>
      <x:c r="Q3" s="2"/>
      <x:c r="R3" s="2"/>
    </x:row>
    <x:row r="4">
      <x:c r="A4" s="2" t="str">
        <x:v>PubMed issue precision is preserved. YYYY-MM or YYYY stays text. No artificial first day of a month is created.</x:v>
      </x:c>
      <x:c r="B4" s="2"/>
      <x:c r="C4" s="2"/>
      <x:c r="D4" s="2"/>
      <x:c r="E4" s="2"/>
      <x:c r="F4" s="2"/>
      <x:c r="G4" s="2"/>
      <x:c r="H4" s="2"/>
      <x:c r="I4" s="2"/>
      <x:c r="J4" s="2"/>
      <x:c r="K4" s="2"/>
      <x:c r="L4" s="2"/>
      <x:c r="M4" s="2"/>
      <x:c r="N4" s="2"/>
      <x:c r="O4" s="2"/>
      <x:c r="P4" s="2"/>
      <x:c r="Q4" s="2"/>
      <x:c r="R4" s="2"/>
    </x:row>
    <x:row r="5">
      <x:c r="A5" s="2"/>
      <x:c r="B5" s="2"/>
      <x:c r="C5" s="2"/>
      <x:c r="D5" s="2"/>
      <x:c r="E5" s="2"/>
      <x:c r="F5" s="2"/>
      <x:c r="G5" s="2"/>
      <x:c r="H5" s="2"/>
      <x:c r="I5" s="2"/>
      <x:c r="J5" s="2"/>
      <x:c r="K5" s="2"/>
      <x:c r="L5" s="2"/>
      <x:c r="M5" s="2"/>
      <x:c r="N5" s="2"/>
      <x:c r="O5" s="2"/>
      <x:c r="P5" s="2"/>
      <x:c r="Q5" s="2"/>
      <x:c r="R5" s="2"/>
    </x:row>
    <x:row r="6" ht="94" customHeight="1">
      <x:c r="A6" s="8" t="str">
        <x:v>Gene labels on ZIP files</x:v>
      </x:c>
      <x:c r="B6" s="8" t="str">
        <x:v>PMID</x:v>
      </x:c>
      <x:c r="C6" s="8" t="str">
        <x:v>Received / submitted (not public release)</x:v>
      </x:c>
      <x:c r="D6" s="8" t="str">
        <x:v>Revised (not public release)</x:v>
      </x:c>
      <x:c r="E6" s="8" t="str">
        <x:v>Accepted (not public release)</x:v>
      </x:c>
      <x:c r="F6" s="8" t="str">
        <x:v>First public JOURNAL-hosted version</x:v>
      </x:c>
      <x:c r="G6" s="8" t="str">
        <x:v>Type of that first public version</x:v>
      </x:c>
      <x:c r="H6" s="8" t="str">
        <x:v>Later Version of Record date (only if separately verified)</x:v>
      </x:c>
      <x:c r="I6" s="8" t="str">
        <x:v>PubMed Electronic date (retained even when later)</x:v>
      </x:c>
      <x:c r="J6" s="8" t="str">
        <x:v>Issue date / period (source precision retained)</x:v>
      </x:c>
      <x:c r="K6" s="8" t="str">
        <x:v>Issue date precision</x:v>
      </x:c>
      <x:c r="L6" s="8" t="str">
        <x:v>Other public version / correction events</x:v>
      </x:c>
      <x:c r="M6" s="8" t="str">
        <x:v>Explanation of source differences</x:v>
      </x:c>
      <x:c r="N6" s="8" t="str">
        <x:v>Article title</x:v>
      </x:c>
      <x:c r="O6" s="8" t="str">
        <x:v>DOI</x:v>
      </x:c>
      <x:c r="P6" s="8" t="str">
        <x:v>Date-history pages in supplied PDF (auto-located)</x:v>
      </x:c>
      <x:c r="Q6" s="8" t="str">
        <x:v>Publication-date source and PubMed source</x:v>
      </x:c>
      <x:c r="R6" s="8" t="str">
        <x:v>ZIP filenames (copies retained)</x:v>
      </x:c>
    </x:row>
    <x:row r="7" ht="56" customHeight="1">
      <x:c r="A7" s="10" t="str">
        <x:v>AP5B1</x:v>
      </x:c>
      <x:c r="B7" s="10" t="str">
        <x:v>40081374</x:v>
      </x:c>
      <x:c r="C7" s="11" t="d">
        <x:v>2024-09-12T00:00:00.000Z</x:v>
      </x:c>
      <x:c r="D7" s="11" t="d">
        <x:v>2025-02-11T00:00:00.000Z</x:v>
      </x:c>
      <x:c r="E7" s="11" t="d">
        <x:v>2025-02-13T00:00:00.000Z</x:v>
      </x:c>
      <x:c r="F7" s="11" t="d">
        <x:v>2025-03-12T00:00:00.000Z</x:v>
      </x:c>
      <x:c r="G7" s="9" t="str">
        <x:v>Electronic publication (PubMed)</x:v>
      </x:c>
      <x:c r="H7" s="11"/>
      <x:c r="I7" s="11" t="d">
        <x:v>2025-03-12T00:00:00.000Z</x:v>
      </x:c>
      <x:c r="J7" s="11" t="d">
        <x:v>2025-04-03T00:00:00.000Z</x:v>
      </x:c>
      <x:c r="K7" s="9" t="str">
        <x:v>day</x:v>
      </x:c>
      <x:c r="L7" s="9" t="str"/>
      <x:c r="M7" s="9" t="str">
        <x:v>Publication and editorial dates were cross-checked against the supplied PDF and fresh PubMed/Europe PMC metadata. No date discrepancy requiring an exception was found.</x:v>
      </x:c>
      <x:c r="N7" s="9" t="str">
        <x:v>Bi-allelic variants in three genes encoding distinct subunits of the vesicular AP-5 complex cause hereditary macular dystrophy.</x:v>
      </x:c>
      <x:c r="O7" s="9" t="str">
        <x:v>10.1016/j.ajhg.2025.02.015</x:v>
      </x:c>
      <x:c r="P7" s="9" t="str">
        <x:v>18</x:v>
      </x:c>
      <x:c r="Q7" s="9" t="str">
        <x:v>https://doi.org/10.1016/j.ajhg.2025.02.015
https://pubmed.ncbi.nlm.nih.gov/40081374/</x:v>
      </x:c>
      <x:c r="R7" s="9" t="str">
        <x:v>AP5B1_PMID 40081374 Kaminska 2025.pdf</x:v>
      </x:c>
    </x:row>
    <x:row r="8" ht="70" customHeight="1">
      <x:c r="A8" s="10" t="str">
        <x:v>ATP11A</x:v>
      </x:c>
      <x:c r="B8" s="10" t="str">
        <x:v>35278131</x:v>
      </x:c>
      <x:c r="C8" s="11" t="d">
        <x:v>2021-05-24T00:00:00.000Z</x:v>
      </x:c>
      <x:c r="D8" s="11"/>
      <x:c r="E8" s="11" t="d">
        <x:v>2022-02-22T00:00:00.000Z</x:v>
      </x:c>
      <x:c r="F8" s="11" t="d">
        <x:v>2022-03-12T00:00:00.000Z</x:v>
      </x:c>
      <x:c r="G8" s="9" t="str">
        <x:v>Electronic publication (PubMed)</x:v>
      </x:c>
      <x:c r="H8" s="11"/>
      <x:c r="I8" s="11" t="d">
        <x:v>2022-03-12T00:00:00.000Z</x:v>
      </x:c>
      <x:c r="J8" s="12" t="str">
        <x:v>2022-04</x:v>
      </x:c>
      <x:c r="K8" s="9" t="str">
        <x:v>month</x:v>
      </x:c>
      <x:c r="L8" s="9" t="str"/>
      <x:c r="M8" s="9" t="str">
        <x:v>Publication and editorial dates were cross-checked against the supplied PDF and fresh PubMed/Europe PMC metadata. No date discrepancy requiring an exception was found.</x:v>
      </x:c>
      <x:c r="N8" s="9" t="str">
        <x:v>Autosomal dominant non-syndromic hearing loss maps to DFNA33 (13q34) and co-segregates with splice and frameshift variants in ATP11A, a phospholipid flippase gene.</x:v>
      </x:c>
      <x:c r="O8" s="9" t="str">
        <x:v>10.1007/s00439-022-02444-x</x:v>
      </x:c>
      <x:c r="P8" s="9" t="str">
        <x:v>1</x:v>
      </x:c>
      <x:c r="Q8" s="9" t="str">
        <x:v>https://doi.org/10.1007/s00439-022-02444-x
https://pubmed.ncbi.nlm.nih.gov/35278131/</x:v>
      </x:c>
      <x:c r="R8" s="9" t="str">
        <x:v>ATP11A_PMID 35278131.pdf</x:v>
      </x:c>
    </x:row>
    <x:row r="9" ht="56" customHeight="1">
      <x:c r="A9" s="10" t="str">
        <x:v>BRWD1</x:v>
      </x:c>
      <x:c r="B9" s="10" t="str">
        <x:v>33389130</x:v>
      </x:c>
      <x:c r="C9" s="11" t="d">
        <x:v>2020-08-19T00:00:00.000Z</x:v>
      </x:c>
      <x:c r="D9" s="11"/>
      <x:c r="E9" s="11" t="d">
        <x:v>2020-11-18T00:00:00.000Z</x:v>
      </x:c>
      <x:c r="F9" s="11" t="d">
        <x:v>2021-01-03T00:00:00.000Z</x:v>
      </x:c>
      <x:c r="G9" s="9" t="str">
        <x:v>Electronic publication (PubMed)</x:v>
      </x:c>
      <x:c r="H9" s="11"/>
      <x:c r="I9" s="11" t="d">
        <x:v>2021-01-03T00:00:00.000Z</x:v>
      </x:c>
      <x:c r="J9" s="12" t="str">
        <x:v>2021-05</x:v>
      </x:c>
      <x:c r="K9" s="9" t="str">
        <x:v>month</x:v>
      </x:c>
      <x:c r="L9" s="9" t="str"/>
      <x:c r="M9" s="9" t="str">
        <x:v>Publication and editorial dates were cross-checked against the supplied PDF and fresh PubMed/Europe PMC metadata. No date discrepancy requiring an exception was found.</x:v>
      </x:c>
      <x:c r="N9" s="9" t="str">
        <x:v>Bi-allelic BRWD1 variants cause male infertility with asthenoteratozoospermia and likely primary ciliary dyskinesia.</x:v>
      </x:c>
      <x:c r="O9" s="9" t="str">
        <x:v>10.1007/s00439-020-02241-4</x:v>
      </x:c>
      <x:c r="P9" s="9" t="str">
        <x:v>1</x:v>
      </x:c>
      <x:c r="Q9" s="9" t="str">
        <x:v>https://doi.org/10.1007/s00439-020-02241-4
https://pubmed.ncbi.nlm.nih.gov/33389130/</x:v>
      </x:c>
      <x:c r="R9" s="9" t="str">
        <x:v>BRWD1 PMID 33389130 guo2021.pdf</x:v>
      </x:c>
    </x:row>
    <x:row r="10" ht="70" customHeight="1">
      <x:c r="A10" s="10" t="str">
        <x:v>C19orf44</x:v>
      </x:c>
      <x:c r="B10" s="10" t="str">
        <x:v>40079362</x:v>
      </x:c>
      <x:c r="C10" s="11" t="d">
        <x:v>2024-08-27T00:00:00.000Z</x:v>
      </x:c>
      <x:c r="D10" s="11" t="d">
        <x:v>2025-02-25T00:00:00.000Z</x:v>
      </x:c>
      <x:c r="E10" s="11" t="d">
        <x:v>2025-02-25T00:00:00.000Z</x:v>
      </x:c>
      <x:c r="F10" s="11" t="d">
        <x:v>2025-03-10T00:00:00.000Z</x:v>
      </x:c>
      <x:c r="G10" s="9" t="str">
        <x:v>Electronic publication (PubMed)</x:v>
      </x:c>
      <x:c r="H10" s="11"/>
      <x:c r="I10" s="11" t="d">
        <x:v>2025-03-10T00:00:00.000Z</x:v>
      </x:c>
      <x:c r="J10" s="12" t="str">
        <x:v>2025-06</x:v>
      </x:c>
      <x:c r="K10" s="9" t="str">
        <x:v>month</x:v>
      </x:c>
      <x:c r="L10" s="9" t="str"/>
      <x:c r="M10" s="9" t="str">
        <x:v>Publication and editorial dates were cross-checked against the supplied PDF and fresh PubMed/Europe PMC metadata. No date discrepancy requiring an exception was found.</x:v>
      </x:c>
      <x:c r="N10" s="9" t="str">
        <x:v>Biallelic null variants in C19orf44 cause a unique late-onset retinal dystrophy phenotype characterized by patchy perifoveal chorioretinal atrophy.</x:v>
      </x:c>
      <x:c r="O10" s="9" t="str">
        <x:v>10.1016/j.gim.2025.101401</x:v>
      </x:c>
      <x:c r="P10" s="9" t="str">
        <x:v>1</x:v>
      </x:c>
      <x:c r="Q10" s="9" t="str">
        <x:v>https://doi.org/10.1016/j.gim.2025.101401
https://pubmed.ncbi.nlm.nih.gov/40079362/</x:v>
      </x:c>
      <x:c r="R10" s="9" t="str">
        <x:v>C19orf44_PMID 40079362.pdf</x:v>
      </x:c>
    </x:row>
    <x:row r="11" ht="56" customHeight="1">
      <x:c r="A11" s="10" t="str">
        <x:v>CEP76</x:v>
      </x:c>
      <x:c r="B11" s="10" t="str">
        <x:v>41105778</x:v>
      </x:c>
      <x:c r="C11" s="11" t="d">
        <x:v>2025-01-29T00:00:00.000Z</x:v>
      </x:c>
      <x:c r="D11" s="11"/>
      <x:c r="E11" s="11" t="d">
        <x:v>2025-09-16T00:00:00.000Z</x:v>
      </x:c>
      <x:c r="F11" s="11" t="d">
        <x:v>2025-10-17T00:00:00.000Z</x:v>
      </x:c>
      <x:c r="G11" s="9" t="str">
        <x:v>Electronic publication (PubMed)</x:v>
      </x:c>
      <x:c r="H11" s="11"/>
      <x:c r="I11" s="11" t="d">
        <x:v>2025-10-17T00:00:00.000Z</x:v>
      </x:c>
      <x:c r="J11" s="11" t="d">
        <x:v>2025-10-17T00:00:00.000Z</x:v>
      </x:c>
      <x:c r="K11" s="9" t="str">
        <x:v>day</x:v>
      </x:c>
      <x:c r="L11" s="9" t="str"/>
      <x:c r="M11" s="9" t="str">
        <x:v>Supplied PDF history labels Submitted January 29, Accepted September 16, Published October 17.</x:v>
      </x:c>
      <x:c r="N11" s="9" t="str">
        <x:v>CEP76 impairment at the centrosome-cilium interface contributes to a spectrum of ciliopathies.</x:v>
      </x:c>
      <x:c r="O11" s="9" t="str">
        <x:v>10.1126/sciadv.adw3717</x:v>
      </x:c>
      <x:c r="P11" s="9" t="str">
        <x:v>22</x:v>
      </x:c>
      <x:c r="Q11" s="9" t="str">
        <x:v>https://doi.org/10.1126/sciadv.adw3717
https://pubmed.ncbi.nlm.nih.gov/41105778/</x:v>
      </x:c>
      <x:c r="R11" s="9" t="str">
        <x:v>CEP76_PMID 41105778.pdf</x:v>
      </x:c>
    </x:row>
    <x:row r="12" ht="56" customHeight="1">
      <x:c r="A12" s="10" t="str">
        <x:v>CFAP54</x:v>
      </x:c>
      <x:c r="B12" s="10" t="str">
        <x:v>37725231</x:v>
      </x:c>
      <x:c r="C12" s="11" t="d">
        <x:v>2022-09-23T00:00:00.000Z</x:v>
      </x:c>
      <x:c r="D12" s="11"/>
      <x:c r="E12" s="11" t="d">
        <x:v>2023-03-06T00:00:00.000Z</x:v>
      </x:c>
      <x:c r="F12" s="11" t="d">
        <x:v>2023-09-19T00:00:00.000Z</x:v>
      </x:c>
      <x:c r="G12" s="9" t="str">
        <x:v>Electronic publication (PubMed)</x:v>
      </x:c>
      <x:c r="H12" s="11"/>
      <x:c r="I12" s="11" t="d">
        <x:v>2023-09-19T00:00:00.000Z</x:v>
      </x:c>
      <x:c r="J12" s="12" t="str">
        <x:v>2023-12</x:v>
      </x:c>
      <x:c r="K12" s="9" t="str">
        <x:v>month</x:v>
      </x:c>
      <x:c r="L12" s="9" t="str"/>
      <x:c r="M12" s="9" t="str">
        <x:v>Publication and editorial dates were cross-checked against the supplied PDF and fresh PubMed/Europe PMC metadata. No date discrepancy requiring an exception was found.</x:v>
      </x:c>
      <x:c r="N12" s="9" t="str">
        <x:v>Lack of CFAP54 causes primary ciliary dyskinesia in a mouse model and human patients.</x:v>
      </x:c>
      <x:c r="O12" s="9" t="str">
        <x:v>10.1007/s11684-023-0997-7</x:v>
      </x:c>
      <x:c r="P12" s="9" t="str">
        <x:v>1</x:v>
      </x:c>
      <x:c r="Q12" s="9" t="str">
        <x:v>https://doi.org/10.1007/s11684-023-0997-7
https://pubmed.ncbi.nlm.nih.gov/37725231/</x:v>
      </x:c>
      <x:c r="R12" s="9" t="str">
        <x:v>CFAP54_PMID 37725231.pdf</x:v>
      </x:c>
    </x:row>
    <x:row r="13" ht="56" customHeight="1">
      <x:c r="A13" s="10" t="str">
        <x:v>CLEC3B</x:v>
      </x:c>
      <x:c r="B13" s="10" t="str">
        <x:v>35331648</x:v>
      </x:c>
      <x:c r="C13" s="11" t="d">
        <x:v>2021-10-17T00:00:00.000Z</x:v>
      </x:c>
      <x:c r="D13" s="11" t="d">
        <x:v>2022-02-16T00:00:00.000Z</x:v>
      </x:c>
      <x:c r="E13" s="11" t="d">
        <x:v>2022-02-17T00:00:00.000Z</x:v>
      </x:c>
      <x:c r="F13" s="11" t="d">
        <x:v>2022-03-22T00:00:00.000Z</x:v>
      </x:c>
      <x:c r="G13" s="9" t="str">
        <x:v>Electronic publication (PubMed)</x:v>
      </x:c>
      <x:c r="H13" s="11"/>
      <x:c r="I13" s="11" t="d">
        <x:v>2022-03-22T00:00:00.000Z</x:v>
      </x:c>
      <x:c r="J13" s="12" t="str">
        <x:v>2022-06</x:v>
      </x:c>
      <x:c r="K13" s="9" t="str">
        <x:v>month</x:v>
      </x:c>
      <x:c r="L13" s="9" t="str"/>
      <x:c r="M13" s="9" t="str">
        <x:v>Publication and editorial dates were cross-checked against the supplied PDF and fresh PubMed/Europe PMC metadata. No date discrepancy requiring an exception was found.</x:v>
      </x:c>
      <x:c r="N13" s="9" t="str">
        <x:v>CLEC3B is a novel causative gene for macular-retinal dystrophy.</x:v>
      </x:c>
      <x:c r="O13" s="9" t="str">
        <x:v>10.1016/j.gim.2022.02.012</x:v>
      </x:c>
      <x:c r="P13" s="9" t="str">
        <x:v>1, 3, 8</x:v>
      </x:c>
      <x:c r="Q13" s="9" t="str">
        <x:v>https://doi.org/10.1016/j.gim.2022.02.012
https://pubmed.ncbi.nlm.nih.gov/35331648/</x:v>
      </x:c>
      <x:c r="R13" s="9" t="str">
        <x:v>CLEC3B_PMID 35331648.pdf</x:v>
      </x:c>
    </x:row>
    <x:row r="14" ht="56" customHeight="1">
      <x:c r="A14" s="10" t="str">
        <x:v>COQ5</x:v>
      </x:c>
      <x:c r="B14" s="10" t="str">
        <x:v>36266294</x:v>
      </x:c>
      <x:c r="C14" s="11" t="d">
        <x:v>2022-05-19T00:00:00.000Z</x:v>
      </x:c>
      <x:c r="D14" s="11"/>
      <x:c r="E14" s="11" t="d">
        <x:v>2022-09-29T00:00:00.000Z</x:v>
      </x:c>
      <x:c r="F14" s="11" t="d">
        <x:v>2022-10-20T00:00:00.000Z</x:v>
      </x:c>
      <x:c r="G14" s="9" t="str">
        <x:v>Electronic publication (PubMed)</x:v>
      </x:c>
      <x:c r="H14" s="11"/>
      <x:c r="I14" s="11" t="d">
        <x:v>2022-10-20T00:00:00.000Z</x:v>
      </x:c>
      <x:c r="J14" s="11" t="d">
        <x:v>2022-10-20T00:00:00.000Z</x:v>
      </x:c>
      <x:c r="K14" s="9" t="str">
        <x:v>day</x:v>
      </x:c>
      <x:c r="L14" s="9" t="str"/>
      <x:c r="M14" s="9" t="str">
        <x:v>Publication and editorial dates were cross-checked against the supplied PDF and fresh PubMed/Europe PMC metadata. No date discrepancy requiring an exception was found.</x:v>
      </x:c>
      <x:c r="N14" s="9" t="str">
        <x:v>Biallelic variants in coenzyme Q10 biosynthesis pathway genes cause a retinitis pigmentosa phenotype.</x:v>
      </x:c>
      <x:c r="O14" s="9" t="str">
        <x:v>10.1038/s41525-022-00330-z</x:v>
      </x:c>
      <x:c r="P14" s="9" t="str">
        <x:v>11</x:v>
      </x:c>
      <x:c r="Q14" s="9" t="str">
        <x:v>https://doi.org/10.1038/s41525-022-00330-z
https://pubmed.ncbi.nlm.nih.gov/36266294/</x:v>
      </x:c>
      <x:c r="R14" s="9" t="str">
        <x:v>COQ5_PMID 36266294.pdf</x:v>
      </x:c>
    </x:row>
    <x:row r="15" ht="56" customHeight="1">
      <x:c r="A15" s="10" t="str">
        <x:v>CREB3</x:v>
      </x:c>
      <x:c r="B15" s="10" t="str">
        <x:v>40674075</x:v>
      </x:c>
      <x:c r="C15" s="11"/>
      <x:c r="D15" s="11"/>
      <x:c r="E15" s="11" t="d">
        <x:v>2025-04-29T00:00:00.000Z</x:v>
      </x:c>
      <x:c r="F15" s="11" t="d">
        <x:v>2025-07-17T00:00:00.000Z</x:v>
      </x:c>
      <x:c r="G15" s="9" t="str">
        <x:v>Published online</x:v>
      </x:c>
      <x:c r="H15" s="11"/>
      <x:c r="I15" s="11"/>
      <x:c r="J15" s="11" t="d">
        <x:v>2025-08-01T00:00:00.000Z</x:v>
      </x:c>
      <x:c r="K15" s="9" t="str">
        <x:v>day</x:v>
      </x:c>
      <x:c r="L15" s="9" t="str"/>
      <x:c r="M15" s="9" t="str">
        <x:v>Supplied publisher-page PDF p.1 explicitly states Published Online July 17. Earlier 2024 conference reports are a separate public-event question.</x:v>
      </x:c>
      <x:c r="N15" s="9" t="str">
        <x:v>Founder Homozygous Nonsense CREB3 Variant and Variable-Onset Retinal Degeneration.</x:v>
      </x:c>
      <x:c r="O15" s="9" t="str">
        <x:v>10.1001/jamaophthalmol.2025.2187</x:v>
      </x:c>
      <x:c r="P15" s="9" t="str">
        <x:v>1, 11</x:v>
      </x:c>
      <x:c r="Q15" s="9" t="str">
        <x:v>https://doi.org/10.1001/jamaophthalmol.2025.2187
https://pubmed.ncbi.nlm.nih.gov/40674075/</x:v>
      </x:c>
      <x:c r="R15" s="9" t="str">
        <x:v>CREB3_PMID 40674075.pdf</x:v>
      </x:c>
    </x:row>
    <x:row r="16" ht="70" customHeight="1">
      <x:c r="A16" s="10" t="str">
        <x:v>CRLS1</x:v>
      </x:c>
      <x:c r="B16" s="10" t="str">
        <x:v>35147173</x:v>
      </x:c>
      <x:c r="C16" s="11" t="d">
        <x:v>2021-10-25T00:00:00.000Z</x:v>
      </x:c>
      <x:c r="D16" s="11" t="d">
        <x:v>2022-02-01T00:00:00.000Z</x:v>
      </x:c>
      <x:c r="E16" s="11" t="d">
        <x:v>2022-02-06T00:00:00.000Z</x:v>
      </x:c>
      <x:c r="F16" s="11" t="d">
        <x:v>2022-02-11T00:00:00.000Z</x:v>
      </x:c>
      <x:c r="G16" s="9" t="str">
        <x:v>Advance access</x:v>
      </x:c>
      <x:c r="H16" s="11"/>
      <x:c r="I16" s="11"/>
      <x:c r="J16" s="11" t="d">
        <x:v>2022-10-28T00:00:00.000Z</x:v>
      </x:c>
      <x:c r="K16" s="9" t="str">
        <x:v>day</x:v>
      </x:c>
      <x:c r="L16" s="9" t="str"/>
      <x:c r="M16" s="9" t="str">
        <x:v>Supplied PDF p.1 explicitly states advance access February 11. Acceptance is February 6. PubMed records issue date October 28, not the returned October 8. October 8 has no support in the checked sources.</x:v>
      </x:c>
      <x:c r="N16" s="9" t="str">
        <x:v>Deleterious variants in CRLS1 lead to cardiolipin deficiency and cause an autosomal recessive multi-system mitochondrial disease.</x:v>
      </x:c>
      <x:c r="O16" s="9" t="str">
        <x:v>10.1093/hmg/ddac040</x:v>
      </x:c>
      <x:c r="P16" s="9" t="str">
        <x:v>1</x:v>
      </x:c>
      <x:c r="Q16" s="9" t="str">
        <x:v>https://academic.oup.com/hmg/article-pdf/31/21/3597/46673942/ddac040.pdf
https://pubmed.ncbi.nlm.nih.gov/35147173/</x:v>
      </x:c>
      <x:c r="R16" s="9" t="str">
        <x:v>CRLS1_PMID 35147173.pdf</x:v>
      </x:c>
    </x:row>
    <x:row r="17" ht="56" customHeight="1">
      <x:c r="A17" s="10" t="str">
        <x:v>CTNND1</x:v>
      </x:c>
      <x:c r="B17" s="10" t="str">
        <x:v>35700046</x:v>
      </x:c>
      <x:c r="C17" s="11" t="d">
        <x:v>2022-01-12T00:00:00.000Z</x:v>
      </x:c>
      <x:c r="D17" s="11"/>
      <x:c r="E17" s="11" t="d">
        <x:v>2022-06-10T00:00:00.000Z</x:v>
      </x:c>
      <x:c r="F17" s="11" t="d">
        <x:v>2022-06-14T00:00:00.000Z</x:v>
      </x:c>
      <x:c r="G17" s="9" t="str">
        <x:v>In-press preview</x:v>
      </x:c>
      <x:c r="H17" s="11" t="d">
        <x:v>2022-07-22T00:00:00.000Z</x:v>
      </x:c>
      <x:c r="I17" s="11" t="d">
        <x:v>2022-07-22T00:00:00.000Z</x:v>
      </x:c>
      <x:c r="J17" s="11" t="d">
        <x:v>2022-07-22T00:00:00.000Z</x:v>
      </x:c>
      <x:c r="K17" s="9" t="str">
        <x:v>day</x:v>
      </x:c>
      <x:c r="L17" s="9" t="str"/>
      <x:c r="M17" s="9" t="str">
        <x:v>Publisher version history gives June 14 in-press preview and July 22 electronic publication. The supplied final PDF alone displays the later date.</x:v>
      </x:c>
      <x:c r="N17" s="9" t="str">
        <x:v>CTNND1 variants cause familial exudative vitreoretinopathy through the Wnt/cadherin axis.</x:v>
      </x:c>
      <x:c r="O17" s="9" t="str">
        <x:v>10.1172/jci.insight.158428</x:v>
      </x:c>
      <x:c r="P17" s="9" t="str">
        <x:v>2, 21</x:v>
      </x:c>
      <x:c r="Q17" s="9" t="str">
        <x:v>https://insight.jci.org/articles/view/158428
https://pubmed.ncbi.nlm.nih.gov/35700046/</x:v>
      </x:c>
      <x:c r="R17" s="9" t="str">
        <x:v>CTNND1_PMID 35700046.pdf</x:v>
      </x:c>
    </x:row>
    <x:row r="18" ht="56" customHeight="1">
      <x:c r="A18" s="10" t="str">
        <x:v>DHRSX</x:v>
      </x:c>
      <x:c r="B18" s="10" t="str">
        <x:v>38821050</x:v>
      </x:c>
      <x:c r="C18" s="11" t="d">
        <x:v>2023-07-12T00:00:00.000Z</x:v>
      </x:c>
      <x:c r="D18" s="11" t="d">
        <x:v>2024-02-21T00:00:00.000Z</x:v>
      </x:c>
      <x:c r="E18" s="11" t="d">
        <x:v>2024-04-29T00:00:00.000Z</x:v>
      </x:c>
      <x:c r="F18" s="11" t="d">
        <x:v>2024-05-30T00:00:00.000Z</x:v>
      </x:c>
      <x:c r="G18" s="9" t="str">
        <x:v>Electronic publication (PubMed)</x:v>
      </x:c>
      <x:c r="H18" s="11"/>
      <x:c r="I18" s="11" t="d">
        <x:v>2024-05-30T00:00:00.000Z</x:v>
      </x:c>
      <x:c r="J18" s="11" t="d">
        <x:v>2024-07-11T00:00:00.000Z</x:v>
      </x:c>
      <x:c r="K18" s="9" t="str">
        <x:v>day</x:v>
      </x:c>
      <x:c r="L18" s="9" t="str">
        <x:v>2024-06-10 corrected online</x:v>
      </x:c>
      <x:c r="M18" s="9" t="str">
        <x:v>PDF history separately lists publication May 30 and correction online June 10. July 11 is the Cell issue date. The correction does not replace the initial publication date.</x:v>
      </x:c>
      <x:c r="N18" s="9" t="str">
        <x:v>A pseudoautosomal glycosylation disorder prompts the revision of dolichol biosynthesis.</x:v>
      </x:c>
      <x:c r="O18" s="9" t="str">
        <x:v>10.1016/j.cell.2024.04.041</x:v>
      </x:c>
      <x:c r="P18" s="9" t="str">
        <x:v>10, 16</x:v>
      </x:c>
      <x:c r="Q18" s="9" t="str">
        <x:v>https://doi.org/10.1016/j.cell.2024.04.041
https://pubmed.ncbi.nlm.nih.gov/38821050/</x:v>
      </x:c>
      <x:c r="R18" s="9" t="str">
        <x:v>DHRSX_PMID 38821050.pdf</x:v>
      </x:c>
    </x:row>
    <x:row r="19" ht="70" customHeight="1">
      <x:c r="A19" s="10" t="str">
        <x:v>DNAJC30</x:v>
      </x:c>
      <x:c r="B19" s="10" t="str">
        <x:v>33465056</x:v>
      </x:c>
      <x:c r="C19" s="11" t="d">
        <x:v>2020-03-19T00:00:00.000Z</x:v>
      </x:c>
      <x:c r="D19" s="11"/>
      <x:c r="E19" s="11" t="d">
        <x:v>2021-01-14T00:00:00.000Z</x:v>
      </x:c>
      <x:c r="F19" s="11" t="d">
        <x:v>2021-01-19T00:00:00.000Z</x:v>
      </x:c>
      <x:c r="G19" s="9" t="str">
        <x:v>In-press preview</x:v>
      </x:c>
      <x:c r="H19" s="11" t="d">
        <x:v>2021-03-15T00:00:00.000Z</x:v>
      </x:c>
      <x:c r="I19" s="11"/>
      <x:c r="J19" s="11" t="d">
        <x:v>2021-03-15T00:00:00.000Z</x:v>
      </x:c>
      <x:c r="K19" s="9" t="str">
        <x:v>day</x:v>
      </x:c>
      <x:c r="L19" s="9" t="str"/>
      <x:c r="M19" s="9" t="str">
        <x:v>Publisher version history confirms the public in-press preview on January 19. The supplied PDF shows March 15 electronic publication. Acceptance January 14 is not public release.</x:v>
      </x:c>
      <x:c r="N19" s="9" t="str">
        <x:v>Impaired complex I repair causes recessive Leber's hereditary optic neuropathy.</x:v>
      </x:c>
      <x:c r="O19" s="9" t="str">
        <x:v>10.1172/jci138267</x:v>
      </x:c>
      <x:c r="P19" s="9" t="str">
        <x:v>2, 6, 12</x:v>
      </x:c>
      <x:c r="Q19" s="9" t="str">
        <x:v>https://www.jci.org/articles/view/138267
https://pubmed.ncbi.nlm.nih.gov/33465056/</x:v>
      </x:c>
      <x:c r="R19" s="9" t="str">
        <x:v>DNAJC30_PMID 33465056.pdf</x:v>
      </x:c>
    </x:row>
    <x:row r="20" ht="70" customHeight="1">
      <x:c r="A20" s="10" t="str">
        <x:v>EFCAB1</x:v>
      </x:c>
      <x:c r="B20" s="10" t="str">
        <x:v>36727596</x:v>
      </x:c>
      <x:c r="C20" s="11" t="d">
        <x:v>2022-10-20T00:00:00.000Z</x:v>
      </x:c>
      <x:c r="D20" s="11" t="d">
        <x:v>2023-01-24T00:00:00.000Z</x:v>
      </x:c>
      <x:c r="E20" s="11" t="d">
        <x:v>2023-01-24T00:00:00.000Z</x:v>
      </x:c>
      <x:c r="F20" s="11" t="d">
        <x:v>2023-01-31T00:00:00.000Z</x:v>
      </x:c>
      <x:c r="G20" s="9" t="str">
        <x:v>Electronic publication (PubMed)</x:v>
      </x:c>
      <x:c r="H20" s="11"/>
      <x:c r="I20" s="11" t="d">
        <x:v>2023-01-31T00:00:00.000Z</x:v>
      </x:c>
      <x:c r="J20" s="12" t="str">
        <x:v>2023-05</x:v>
      </x:c>
      <x:c r="K20" s="9" t="str">
        <x:v>month</x:v>
      </x:c>
      <x:c r="L20" s="9" t="str"/>
      <x:c r="M20" s="9" t="str">
        <x:v>Publication and editorial dates were cross-checked against the supplied PDF and fresh PubMed/Europe PMC metadata. No date discrepancy requiring an exception was found.</x:v>
      </x:c>
      <x:c r="N20" s="9" t="str">
        <x:v>Pathogenic variants in CLXN encoding the outer dynein arm docking-associated calcium-binding protein calaxin cause primary ciliary dyskinesia.</x:v>
      </x:c>
      <x:c r="O20" s="9" t="str">
        <x:v>10.1016/j.gim.2023.100798</x:v>
      </x:c>
      <x:c r="P20" s="9" t="str">
        <x:v>1</x:v>
      </x:c>
      <x:c r="Q20" s="9" t="str">
        <x:v>https://doi.org/10.1016/j.gim.2023.100798
https://pubmed.ncbi.nlm.nih.gov/36727596/</x:v>
      </x:c>
      <x:c r="R20" s="9" t="str">
        <x:v>EFCAB1_PMID 36727596.pdf</x:v>
      </x:c>
    </x:row>
    <x:row r="21" ht="56" customHeight="1">
      <x:c r="A21" s="10" t="str">
        <x:v>FSD1L</x:v>
      </x:c>
      <x:c r="B21" s="10" t="str">
        <x:v>41720098</x:v>
      </x:c>
      <x:c r="C21" s="11" t="d">
        <x:v>2025-08-13T00:00:00.000Z</x:v>
      </x:c>
      <x:c r="D21" s="11" t="d">
        <x:v>2026-01-22T00:00:00.000Z</x:v>
      </x:c>
      <x:c r="E21" s="11" t="d">
        <x:v>2026-01-22T00:00:00.000Z</x:v>
      </x:c>
      <x:c r="F21" s="11" t="d">
        <x:v>2026-02-19T00:00:00.000Z</x:v>
      </x:c>
      <x:c r="G21" s="9" t="str">
        <x:v>Electronic publication (PubMed)</x:v>
      </x:c>
      <x:c r="H21" s="11"/>
      <x:c r="I21" s="11" t="d">
        <x:v>2026-02-19T00:00:00.000Z</x:v>
      </x:c>
      <x:c r="J21" s="11" t="d">
        <x:v>2026-03-05T00:00:00.000Z</x:v>
      </x:c>
      <x:c r="K21" s="9" t="str">
        <x:v>day</x:v>
      </x:c>
      <x:c r="L21" s="9" t="str"/>
      <x:c r="M21" s="9" t="str">
        <x:v>Publication and editorial dates were cross-checked against the supplied PDF and fresh PubMed/Europe PMC metadata. No date discrepancy requiring an exception was found.</x:v>
      </x:c>
      <x:c r="N21" s="9" t="str">
        <x:v>Bi-allelic variants in FSD1L cause a neurodevelopmental disorder overlapping with L1 syndrome.</x:v>
      </x:c>
      <x:c r="O21" s="9" t="str">
        <x:v>10.1016/j.ajhg.2026.01.014</x:v>
      </x:c>
      <x:c r="P21" s="9" t="str">
        <x:v>14, 15</x:v>
      </x:c>
      <x:c r="Q21" s="9" t="str">
        <x:v>https://doi.org/10.1016/j.ajhg.2026.01.014
https://pubmed.ncbi.nlm.nih.gov/41720098/</x:v>
      </x:c>
      <x:c r="R21" s="9" t="str">
        <x:v>FSD1L_PMID 41720098.pdf</x:v>
      </x:c>
    </x:row>
    <x:row r="22" ht="56" customHeight="1">
      <x:c r="A22" s="10" t="str">
        <x:v>GPATCH11</x:v>
      </x:c>
      <x:c r="B22" s="10" t="str">
        <x:v>39572588</x:v>
      </x:c>
      <x:c r="C22" s="11" t="d">
        <x:v>2023-10-09T00:00:00.000Z</x:v>
      </x:c>
      <x:c r="D22" s="11"/>
      <x:c r="E22" s="11" t="d">
        <x:v>2024-11-13T00:00:00.000Z</x:v>
      </x:c>
      <x:c r="F22" s="11" t="d">
        <x:v>2024-11-21T00:00:00.000Z</x:v>
      </x:c>
      <x:c r="G22" s="9" t="str">
        <x:v>Electronic publication (PubMed)</x:v>
      </x:c>
      <x:c r="H22" s="11"/>
      <x:c r="I22" s="11" t="d">
        <x:v>2024-11-21T00:00:00.000Z</x:v>
      </x:c>
      <x:c r="J22" s="11" t="d">
        <x:v>2024-11-21T00:00:00.000Z</x:v>
      </x:c>
      <x:c r="K22" s="9" t="str">
        <x:v>day</x:v>
      </x:c>
      <x:c r="L22" s="9" t="str"/>
      <x:c r="M22" s="9" t="str">
        <x:v>Publication and editorial dates were cross-checked against the supplied PDF and fresh PubMed/Europe PMC metadata. No date discrepancy requiring an exception was found.</x:v>
      </x:c>
      <x:c r="N22" s="9" t="str">
        <x:v>GPATCH11 variants cause mis-splicing and early-onset retinal dystrophy with neurological impairment.</x:v>
      </x:c>
      <x:c r="O22" s="9" t="str">
        <x:v>10.1038/s41467-024-54549-8</x:v>
      </x:c>
      <x:c r="P22" s="9" t="str">
        <x:v>1, 13</x:v>
      </x:c>
      <x:c r="Q22" s="9" t="str">
        <x:v>https://doi.org/10.1038/s41467-024-54549-8
https://pubmed.ncbi.nlm.nih.gov/39572588/</x:v>
      </x:c>
      <x:c r="R22" s="9" t="str">
        <x:v>GPATCH11_PMID 39572588.pdf</x:v>
      </x:c>
    </x:row>
    <x:row r="23" ht="56" customHeight="1">
      <x:c r="A23" s="10" t="str">
        <x:v>GPR156</x:v>
      </x:c>
      <x:c r="B23" s="10" t="str">
        <x:v>36928819</x:v>
      </x:c>
      <x:c r="C23" s="11" t="d">
        <x:v>2022-10-21T00:00:00.000Z</x:v>
      </x:c>
      <x:c r="D23" s="11"/>
      <x:c r="E23" s="11" t="d">
        <x:v>2023-01-06T00:00:00.000Z</x:v>
      </x:c>
      <x:c r="F23" s="11" t="d">
        <x:v>2023-03-16T00:00:00.000Z</x:v>
      </x:c>
      <x:c r="G23" s="9" t="str">
        <x:v>Electronic publication (PubMed)</x:v>
      </x:c>
      <x:c r="H23" s="11"/>
      <x:c r="I23" s="11" t="d">
        <x:v>2023-03-16T00:00:00.000Z</x:v>
      </x:c>
      <x:c r="J23" s="12" t="str">
        <x:v>2023-03</x:v>
      </x:c>
      <x:c r="K23" s="9" t="str">
        <x:v>month</x:v>
      </x:c>
      <x:c r="L23" s="9" t="str"/>
      <x:c r="M23" s="9" t="str">
        <x:v>Publication and editorial dates were cross-checked against the supplied PDF and fresh PubMed/Europe PMC metadata. No date discrepancy requiring an exception was found.</x:v>
      </x:c>
      <x:c r="N23" s="9" t="str">
        <x:v>Genetic association analysis of 77,539 genomes reveals rare disease etiologies.</x:v>
      </x:c>
      <x:c r="O23" s="9" t="str">
        <x:v>10.1038/s41591-023-02211-z</x:v>
      </x:c>
      <x:c r="P23" s="9" t="str">
        <x:v>1</x:v>
      </x:c>
      <x:c r="Q23" s="9" t="str">
        <x:v>https://doi.org/10.1038/s41591-023-02211-z
https://pubmed.ncbi.nlm.nih.gov/36928819/</x:v>
      </x:c>
      <x:c r="R23" s="9" t="str">
        <x:v>GPR156_PMID 36928819.pdf</x:v>
      </x:c>
    </x:row>
    <x:row r="24" ht="70" customHeight="1">
      <x:c r="A24" s="10" t="str">
        <x:v>IDH3G</x:v>
      </x:c>
      <x:c r="B24" s="10" t="str">
        <x:v>40119724</x:v>
      </x:c>
      <x:c r="C24" s="11" t="d">
        <x:v>2024-12-12T00:00:00.000Z</x:v>
      </x:c>
      <x:c r="D24" s="11" t="d">
        <x:v>2025-03-10T00:00:00.000Z</x:v>
      </x:c>
      <x:c r="E24" s="11" t="d">
        <x:v>2025-03-13T00:00:00.000Z</x:v>
      </x:c>
      <x:c r="F24" s="11" t="d">
        <x:v>2025-03-19T00:00:00.000Z</x:v>
      </x:c>
      <x:c r="G24" s="9" t="str">
        <x:v>Electronic publication (PubMed)</x:v>
      </x:c>
      <x:c r="H24" s="11"/>
      <x:c r="I24" s="11" t="d">
        <x:v>2025-03-19T00:00:00.000Z</x:v>
      </x:c>
      <x:c r="J24" s="12" t="str">
        <x:v>2025-06</x:v>
      </x:c>
      <x:c r="K24" s="9" t="str">
        <x:v>month</x:v>
      </x:c>
      <x:c r="L24" s="9" t="str"/>
      <x:c r="M24" s="9" t="str">
        <x:v>Publication and editorial dates were cross-checked against the supplied PDF and fresh PubMed/Europe PMC metadata. No date discrepancy requiring an exception was found.</x:v>
      </x:c>
      <x:c r="N24" s="9" t="str">
        <x:v>Identification of IDH3G, encoding the gamma subunit of mitochondrial isocitrate dehydrogenase, as a novel candidate gene for X-linked retinitis pigmentosa.</x:v>
      </x:c>
      <x:c r="O24" s="9" t="str">
        <x:v>10.1016/j.gim.2025.101418</x:v>
      </x:c>
      <x:c r="P24" s="9" t="str">
        <x:v>1, 2, 12</x:v>
      </x:c>
      <x:c r="Q24" s="9" t="str">
        <x:v>https://doi.org/10.1016/j.gim.2025.101418
https://pubmed.ncbi.nlm.nih.gov/40119724/</x:v>
      </x:c>
      <x:c r="R24" s="9" t="str">
        <x:v>IDH3G_PMID 40119724.pdf</x:v>
      </x:c>
    </x:row>
    <x:row r="25" ht="56" customHeight="1">
      <x:c r="A25" s="10" t="str">
        <x:v>INTS11</x:v>
      </x:c>
      <x:c r="B25" s="10" t="str">
        <x:v>37054711</x:v>
      </x:c>
      <x:c r="C25" s="11" t="d">
        <x:v>2023-01-05T00:00:00.000Z</x:v>
      </x:c>
      <x:c r="D25" s="11"/>
      <x:c r="E25" s="11" t="d">
        <x:v>2023-03-18T00:00:00.000Z</x:v>
      </x:c>
      <x:c r="F25" s="11" t="d">
        <x:v>2023-04-12T00:00:00.000Z</x:v>
      </x:c>
      <x:c r="G25" s="9" t="str">
        <x:v>Electronic publication (PubMed)</x:v>
      </x:c>
      <x:c r="H25" s="11"/>
      <x:c r="I25" s="11" t="d">
        <x:v>2023-04-12T00:00:00.000Z</x:v>
      </x:c>
      <x:c r="J25" s="11" t="d">
        <x:v>2023-05-04T00:00:00.000Z</x:v>
      </x:c>
      <x:c r="K25" s="9" t="str">
        <x:v>day</x:v>
      </x:c>
      <x:c r="L25" s="9" t="str"/>
      <x:c r="M25" s="9" t="str">
        <x:v>Publication and editorial dates were cross-checked against the supplied PDF and fresh PubMed/Europe PMC metadata. No date discrepancy requiring an exception was found.</x:v>
      </x:c>
      <x:c r="N25" s="9" t="str">
        <x:v>Bi-allelic variants in INTS11 are associated with a complex neurological disorder.</x:v>
      </x:c>
      <x:c r="O25" s="9" t="str">
        <x:v>10.1016/j.ajhg.2023.03.012</x:v>
      </x:c>
      <x:c r="P25" s="9" t="str">
        <x:v>15, 16</x:v>
      </x:c>
      <x:c r="Q25" s="9" t="str">
        <x:v>https://doi.org/10.1016/j.ajhg.2023.03.012
https://pubmed.ncbi.nlm.nih.gov/37054711/</x:v>
      </x:c>
      <x:c r="R25" s="9" t="str">
        <x:v>INTS11_PMID 37054711.pdf</x:v>
      </x:c>
    </x:row>
    <x:row r="26" ht="70" customHeight="1">
      <x:c r="A26" s="10" t="str">
        <x:v>KCNJ16</x:v>
      </x:c>
      <x:c r="B26" s="10" t="str">
        <x:v>33811157</x:v>
      </x:c>
      <x:c r="C26" s="11" t="d">
        <x:v>2020-11-11T00:00:00.000Z</x:v>
      </x:c>
      <x:c r="D26" s="11"/>
      <x:c r="E26" s="11" t="d">
        <x:v>2021-02-04T00:00:00.000Z</x:v>
      </x:c>
      <x:c r="F26" s="11" t="d">
        <x:v>2021-04-02T00:00:00.000Z</x:v>
      </x:c>
      <x:c r="G26" s="9" t="str">
        <x:v>Electronic publication (PubMed)</x:v>
      </x:c>
      <x:c r="H26" s="11"/>
      <x:c r="I26" s="11" t="d">
        <x:v>2021-04-02T00:00:00.000Z</x:v>
      </x:c>
      <x:c r="J26" s="11" t="d">
        <x:v>2021-06-01T00:00:00.000Z</x:v>
      </x:c>
      <x:c r="K26" s="9" t="str">
        <x:v>day</x:v>
      </x:c>
      <x:c r="L26" s="9" t="str"/>
      <x:c r="M26" s="9" t="str">
        <x:v>Publication and editorial dates were cross-checked against the supplied PDF and fresh PubMed/Europe PMC metadata. No date discrepancy requiring an exception was found.</x:v>
      </x:c>
      <x:c r="N26" s="9" t="str">
        <x:v>Defects in KCNJ16 Cause a Novel Tubulopathy with Hypokalemia, Salt Wasting, Disturbed Acid-Base Homeostasis, and Sensorineural Deafness.</x:v>
      </x:c>
      <x:c r="O26" s="9" t="str">
        <x:v>10.1681/asn.2020111587</x:v>
      </x:c>
      <x:c r="P26" s="9" t="str">
        <x:v>No date-history panel in supplied extract</x:v>
      </x:c>
      <x:c r="Q26" s="9" t="str">
        <x:v>https://doi.org/10.1681/asn.2020111587
https://pubmed.ncbi.nlm.nih.gov/33811157/</x:v>
      </x:c>
      <x:c r="R26" s="9" t="str">
        <x:v>KCNJ16_PMID 33811157.pdf</x:v>
      </x:c>
    </x:row>
    <x:row r="27" ht="56" customHeight="1">
      <x:c r="A27" s="10" t="str">
        <x:v>KIAA1024L</x:v>
      </x:c>
      <x:c r="B27" s="10" t="str">
        <x:v>35727972</x:v>
      </x:c>
      <x:c r="C27" s="11" t="d">
        <x:v>2022-03-08T00:00:00.000Z</x:v>
      </x:c>
      <x:c r="D27" s="11"/>
      <x:c r="E27" s="11" t="d">
        <x:v>2022-05-11T00:00:00.000Z</x:v>
      </x:c>
      <x:c r="F27" s="11" t="d">
        <x:v>2022-06-21T00:00:00.000Z</x:v>
      </x:c>
      <x:c r="G27" s="9" t="str">
        <x:v>Electronic publication (PubMed)</x:v>
      </x:c>
      <x:c r="H27" s="11"/>
      <x:c r="I27" s="11" t="d">
        <x:v>2022-06-21T00:00:00.000Z</x:v>
      </x:c>
      <x:c r="J27" s="11" t="d">
        <x:v>2022-06-28T00:00:00.000Z</x:v>
      </x:c>
      <x:c r="K27" s="9" t="str">
        <x:v>day</x:v>
      </x:c>
      <x:c r="L27" s="9" t="str"/>
      <x:c r="M27" s="9" t="str">
        <x:v>The supplied PDF p.1 supplies receipt and acceptance. Electronic publication June 21 is independently recorded in PubMed.</x:v>
      </x:c>
      <x:c r="N27" s="9" t="str">
        <x:v>Mutations in &amp;lt;i&amp;gt;MINAR2&amp;lt;/i&amp;gt; encoding membrane integral NOTCH2-associated receptor 2 cause deafness in humans and mice.</x:v>
      </x:c>
      <x:c r="O27" s="9" t="str">
        <x:v>10.1073/pnas.2204084119</x:v>
      </x:c>
      <x:c r="P27" s="9" t="str">
        <x:v>1, 2</x:v>
      </x:c>
      <x:c r="Q27" s="9" t="str">
        <x:v>https://doi.org/10.1073/pnas.2204084119
https://pubmed.ncbi.nlm.nih.gov/35727972/</x:v>
      </x:c>
      <x:c r="R27" s="9" t="str">
        <x:v>KIAA1024L_D 35727972.pdf</x:v>
      </x:c>
    </x:row>
    <x:row r="28" ht="56" customHeight="1">
      <x:c r="A28" s="10" t="str">
        <x:v>LIG3</x:v>
      </x:c>
      <x:c r="B28" s="10" t="str">
        <x:v>33855352</x:v>
      </x:c>
      <x:c r="C28" s="11" t="d">
        <x:v>2020-04-25T00:00:00.000Z</x:v>
      </x:c>
      <x:c r="D28" s="11" t="d">
        <x:v>2020-11-13T00:00:00.000Z</x:v>
      </x:c>
      <x:c r="E28" s="11" t="d">
        <x:v>2020-12-09T00:00:00.000Z</x:v>
      </x:c>
      <x:c r="F28" s="11" t="d">
        <x:v>2021-04-15T00:00:00.000Z</x:v>
      </x:c>
      <x:c r="G28" s="9" t="str">
        <x:v>Advance access</x:v>
      </x:c>
      <x:c r="H28" s="11"/>
      <x:c r="I28" s="11"/>
      <x:c r="J28" s="11" t="d">
        <x:v>2021-06-22T00:00:00.000Z</x:v>
      </x:c>
      <x:c r="K28" s="9" t="str">
        <x:v>day</x:v>
      </x:c>
      <x:c r="L28" s="9" t="str"/>
      <x:c r="M28" s="9" t="str">
        <x:v>Supplied PDF p.1 explicitly states advance access April 15, after acceptance December 9, 2020. June 22, 2021 is the issue date.</x:v>
      </x:c>
      <x:c r="N28" s="9" t="str">
        <x:v>Biallelic variants in LIG3 cause a novel mitochondrial neurogastrointestinal encephalomyopathy.</x:v>
      </x:c>
      <x:c r="O28" s="9" t="str">
        <x:v>10.1093/brain/awab056</x:v>
      </x:c>
      <x:c r="P28" s="9" t="str">
        <x:v>1</x:v>
      </x:c>
      <x:c r="Q28" s="9" t="str">
        <x:v>https://doi.org/10.1093/brain/awab056
https://pubmed.ncbi.nlm.nih.gov/33855352/</x:v>
      </x:c>
      <x:c r="R28" s="9" t="str">
        <x:v>LIG3_PMID 33855352.pdf</x:v>
      </x:c>
    </x:row>
    <x:row r="29" ht="70" customHeight="1">
      <x:c r="A29" s="10" t="str">
        <x:v>MRPL49</x:v>
      </x:c>
      <x:c r="B29" s="10" t="str">
        <x:v>40043708</x:v>
      </x:c>
      <x:c r="C29" s="11" t="d">
        <x:v>2024-10-09T00:00:00.000Z</x:v>
      </x:c>
      <x:c r="D29" s="11" t="d">
        <x:v>2025-02-06T00:00:00.000Z</x:v>
      </x:c>
      <x:c r="E29" s="11" t="d">
        <x:v>2025-02-06T00:00:00.000Z</x:v>
      </x:c>
      <x:c r="F29" s="11" t="d">
        <x:v>2025-03-04T00:00:00.000Z</x:v>
      </x:c>
      <x:c r="G29" s="9" t="str">
        <x:v>Electronic publication (PubMed)</x:v>
      </x:c>
      <x:c r="H29" s="11"/>
      <x:c r="I29" s="11" t="d">
        <x:v>2025-03-04T00:00:00.000Z</x:v>
      </x:c>
      <x:c r="J29" s="11" t="d">
        <x:v>2025-04-03T00:00:00.000Z</x:v>
      </x:c>
      <x:c r="K29" s="9" t="str">
        <x:v>day</x:v>
      </x:c>
      <x:c r="L29" s="9" t="str"/>
      <x:c r="M29" s="9" t="str">
        <x:v>Publication and editorial dates were cross-checked against the supplied PDF and fresh PubMed/Europe PMC metadata. No date discrepancy requiring an exception was found.</x:v>
      </x:c>
      <x:c r="N29" s="9" t="str">
        <x:v>Bi-allelic variants in MRPL49 cause variable clinical presentations, including sensorineural hearing loss, leukodystrophy, and ovarian insufficiency.</x:v>
      </x:c>
      <x:c r="O29" s="9" t="str">
        <x:v>10.1016/j.ajhg.2025.02.005</x:v>
      </x:c>
      <x:c r="P29" s="9" t="str">
        <x:v>11</x:v>
      </x:c>
      <x:c r="Q29" s="9" t="str">
        <x:v>https://doi.org/10.1016/j.ajhg.2025.02.005
https://pubmed.ncbi.nlm.nih.gov/40043708/</x:v>
      </x:c>
      <x:c r="R29" s="9" t="str">
        <x:v>MRPL49_PMID 40043708.pdf</x:v>
      </x:c>
    </x:row>
    <x:row r="30" ht="88" customHeight="1">
      <x:c r="A30" s="10" t="str">
        <x:v>PDIA6</x:v>
      </x:c>
      <x:c r="B30" s="10" t="str">
        <x:v>33495992</x:v>
      </x:c>
      <x:c r="C30" s="11" t="d">
        <x:v>2020-12-19T00:00:00.000Z</x:v>
      </x:c>
      <x:c r="D30" s="11" t="d">
        <x:v>2021-01-18T00:00:00.000Z</x:v>
      </x:c>
      <x:c r="E30" s="11" t="d">
        <x:v>2021-01-21T00:00:00.000Z</x:v>
      </x:c>
      <x:c r="F30" s="11" t="d">
        <x:v>2021-01-26T00:00:00.000Z</x:v>
      </x:c>
      <x:c r="G30" s="9" t="str">
        <x:v>Publisher First published</x:v>
      </x:c>
      <x:c r="H30" s="11"/>
      <x:c r="I30" s="11" t="d">
        <x:v>2021-02-17T00:00:00.000Z</x:v>
      </x:c>
      <x:c r="J30" s="12" t="str">
        <x:v>2021-05</x:v>
      </x:c>
      <x:c r="K30" s="9" t="str">
        <x:v>month</x:v>
      </x:c>
      <x:c r="L30" s="9" t="str"/>
      <x:c r="M30" s="9" t="str">
        <x:v>Wiley explicitly gives First published January 26. PubMed/Europe PMC Electronic date is February 17. Both are retained. The Wiley page inspected does not label January 26 as the acceptance date or establish the precise version transition. Do not infer a Version of Record date from this discrepancy.</x:v>
      </x:c>
      <x:c r="N30" s="9" t="str">
        <x:v>Biallelic loss of function variant in the unfolded protein response gene PDIA6 is associated with asphyxiating thoracic dystrophy and neonatal-onset diabetes.</x:v>
      </x:c>
      <x:c r="O30" s="9" t="str">
        <x:v>10.1111/cge.13930</x:v>
      </x:c>
      <x:c r="P30" s="9" t="str">
        <x:v>1, 4, 5</x:v>
      </x:c>
      <x:c r="Q30" s="9" t="str">
        <x:v>https://onlinelibrary.wiley.com/doi/10.1111/cge.13930
https://pubmed.ncbi.nlm.nih.gov/33495992/</x:v>
      </x:c>
      <x:c r="R30" s="9" t="str">
        <x:v>PDIA6_PMID 33495992.pdf</x:v>
      </x:c>
    </x:row>
    <x:row r="31" ht="56" customHeight="1">
      <x:c r="A31" s="10" t="str">
        <x:v>PKHD1L1</x:v>
      </x:c>
      <x:c r="B31" s="10" t="str">
        <x:v>38459354</x:v>
      </x:c>
      <x:c r="C31" s="11" t="d">
        <x:v>2023-10-09T00:00:00.000Z</x:v>
      </x:c>
      <x:c r="D31" s="11"/>
      <x:c r="E31" s="11" t="d">
        <x:v>2024-01-21T00:00:00.000Z</x:v>
      </x:c>
      <x:c r="F31" s="11" t="d">
        <x:v>2024-03-09T00:00:00.000Z</x:v>
      </x:c>
      <x:c r="G31" s="9" t="str">
        <x:v>Electronic publication (PubMed)</x:v>
      </x:c>
      <x:c r="H31" s="11"/>
      <x:c r="I31" s="11" t="d">
        <x:v>2024-03-09T00:00:00.000Z</x:v>
      </x:c>
      <x:c r="J31" s="12" t="str">
        <x:v>2024-03</x:v>
      </x:c>
      <x:c r="K31" s="9" t="str">
        <x:v>month</x:v>
      </x:c>
      <x:c r="L31" s="9" t="str"/>
      <x:c r="M31" s="9" t="str">
        <x:v>Publication and editorial dates were cross-checked against the supplied PDF and fresh PubMed/Europe PMC metadata. No date discrepancy requiring an exception was found.</x:v>
      </x:c>
      <x:c r="N31" s="9" t="str">
        <x:v>PKHD1L1, a gene involved in the stereocilia coat, causes autosomal recessive nonsyndromic hearing loss.</x:v>
      </x:c>
      <x:c r="O31" s="9" t="str">
        <x:v>10.1007/s00439-024-02649-2</x:v>
      </x:c>
      <x:c r="P31" s="9" t="str">
        <x:v>1</x:v>
      </x:c>
      <x:c r="Q31" s="9" t="str">
        <x:v>https://doi.org/10.1007/s00439-024-02649-2
https://pubmed.ncbi.nlm.nih.gov/38459354/</x:v>
      </x:c>
      <x:c r="R31" s="9" t="str">
        <x:v>PKHD1L1_PMID 38459354.pdf</x:v>
      </x:c>
    </x:row>
    <x:row r="32" ht="56" customHeight="1">
      <x:c r="A32" s="10" t="str">
        <x:v>PLCG1</x:v>
      </x:c>
      <x:c r="B32" s="10" t="str">
        <x:v>37422272</x:v>
      </x:c>
      <x:c r="C32" s="11" t="d">
        <x:v>2023-03-15T00:00:00.000Z</x:v>
      </x:c>
      <x:c r="D32" s="11" t="d">
        <x:v>2023-05-22T00:00:00.000Z</x:v>
      </x:c>
      <x:c r="E32" s="11" t="d">
        <x:v>2023-06-14T00:00:00.000Z</x:v>
      </x:c>
      <x:c r="F32" s="11" t="d">
        <x:v>2023-07-06T00:00:00.000Z</x:v>
      </x:c>
      <x:c r="G32" s="9" t="str">
        <x:v>Electronic publication (PubMed)</x:v>
      </x:c>
      <x:c r="H32" s="11"/>
      <x:c r="I32" s="11" t="d">
        <x:v>2023-07-06T00:00:00.000Z</x:v>
      </x:c>
      <x:c r="J32" s="12" t="str">
        <x:v>2023-11</x:v>
      </x:c>
      <x:c r="K32" s="9" t="str">
        <x:v>month</x:v>
      </x:c>
      <x:c r="L32" s="9" t="str"/>
      <x:c r="M32" s="9" t="str">
        <x:v>Publication and editorial dates were cross-checked against the supplied PDF and fresh PubMed/Europe PMC metadata. No date discrepancy requiring an exception was found.</x:v>
      </x:c>
      <x:c r="N32" s="9" t="str">
        <x:v>A gain-of-function variation in PLCG1 causes a new immune dysregulation disease.</x:v>
      </x:c>
      <x:c r="O32" s="9" t="str">
        <x:v>10.1016/j.jaci.2023.06.020</x:v>
      </x:c>
      <x:c r="P32" s="9" t="str">
        <x:v>1</x:v>
      </x:c>
      <x:c r="Q32" s="9" t="str">
        <x:v>https://doi.org/10.1016/j.jaci.2023.06.020
https://pubmed.ncbi.nlm.nih.gov/37422272/</x:v>
      </x:c>
      <x:c r="R32" s="9" t="str">
        <x:v>PLCG1_PMID 37422272 GOF Immu.pdf</x:v>
      </x:c>
    </x:row>
    <x:row r="33" ht="88" customHeight="1">
      <x:c r="A33" s="10" t="str">
        <x:v>PLCG1</x:v>
      </x:c>
      <x:c r="B33" s="10" t="str">
        <x:v>40862571</x:v>
      </x:c>
      <x:c r="C33" s="11"/>
      <x:c r="D33" s="11"/>
      <x:c r="E33" s="11"/>
      <x:c r="F33" s="11" t="d">
        <x:v>2024-04-19T00:00:00.000Z</x:v>
      </x:c>
      <x:c r="G33" s="9" t="str">
        <x:v>eLife reviewed preprint v1</x:v>
      </x:c>
      <x:c r="H33" s="11" t="d">
        <x:v>2025-08-27T00:00:00.000Z</x:v>
      </x:c>
      <x:c r="I33" s="11" t="d">
        <x:v>2025-08-27T00:00:00.000Z</x:v>
      </x:c>
      <x:c r="J33" s="11" t="d">
        <x:v>2025-08-27T00:00:00.000Z</x:v>
      </x:c>
      <x:c r="K33" s="9" t="str">
        <x:v>day</x:v>
      </x:c>
      <x:c r="L33" s="9" t="str">
        <x:v>2024-01-09 original preprint; 2025-07-23 reviewed preprint v2</x:v>
      </x:c>
      <x:c r="M33" s="9" t="str">
        <x:v>Supplied PDF p.1 and publisher version history distinguish original preprint January 9, 2024, reviewed preprint April 19, 2024, revision July 23, 2025, and Version of Record August 27, 2025. The returned August 17 is unsupported. Sent for review February 5, 2024 is not a public-release event.</x:v>
      </x:c>
      <x:c r="N33" s="9" t="str">
        <x:v>Heterozygous variants in &amp;lt;i&amp;gt;PLCG1&amp;lt;/i&amp;gt; affect hearing, vision, cardiac, and immune function.</x:v>
      </x:c>
      <x:c r="O33" s="9" t="str">
        <x:v>10.7554/elife.95887</x:v>
      </x:c>
      <x:c r="P33" s="9" t="str">
        <x:v>1, 27</x:v>
      </x:c>
      <x:c r="Q33" s="9" t="str">
        <x:v>https://elifesciences.org/reviewed-preprints/95887v1
https://pubmed.ncbi.nlm.nih.gov/40862571/</x:v>
      </x:c>
      <x:c r="R33" s="9" t="str">
        <x:v>PLCG1_PMID 40862571.pdf</x:v>
      </x:c>
    </x:row>
    <x:row r="34" ht="56" customHeight="1">
      <x:c r="A34" s="10" t="str">
        <x:v>PSKH1</x:v>
      </x:c>
      <x:c r="B34" s="10" t="str">
        <x:v>39132680</x:v>
      </x:c>
      <x:c r="C34" s="11" t="d">
        <x:v>2024-02-10T00:00:00.000Z</x:v>
      </x:c>
      <x:c r="D34" s="11" t="d">
        <x:v>2024-08-03T00:00:00.000Z</x:v>
      </x:c>
      <x:c r="E34" s="11" t="d">
        <x:v>2024-08-06T00:00:00.000Z</x:v>
      </x:c>
      <x:c r="F34" s="11" t="d">
        <x:v>2024-08-09T00:00:00.000Z</x:v>
      </x:c>
      <x:c r="G34" s="9" t="str">
        <x:v>Electronic publication (PubMed)</x:v>
      </x:c>
      <x:c r="H34" s="11"/>
      <x:c r="I34" s="11" t="d">
        <x:v>2024-08-09T00:00:00.000Z</x:v>
      </x:c>
      <x:c r="J34" s="12" t="str">
        <x:v>2024-11</x:v>
      </x:c>
      <x:c r="K34" s="9" t="str">
        <x:v>month</x:v>
      </x:c>
      <x:c r="L34" s="9" t="str"/>
      <x:c r="M34" s="9" t="str">
        <x:v>Publication and editorial dates were cross-checked against the supplied PDF and fresh PubMed/Europe PMC metadata. No date discrepancy requiring an exception was found.</x:v>
      </x:c>
      <x:c r="N34" s="9" t="str">
        <x:v>Large-scale genomic investigation of pediatric cholestasis reveals a novel hepatorenal ciliopathy caused by PSKH1 mutations.</x:v>
      </x:c>
      <x:c r="O34" s="9" t="str">
        <x:v>10.1016/j.gim.2024.101231</x:v>
      </x:c>
      <x:c r="P34" s="9" t="str">
        <x:v>1, 5, 8, 12</x:v>
      </x:c>
      <x:c r="Q34" s="9" t="str">
        <x:v>https://doi.org/10.1016/j.gim.2024.101231
https://pubmed.ncbi.nlm.nih.gov/39132680/</x:v>
      </x:c>
      <x:c r="R34" s="9" t="str">
        <x:v>PSKH1_PMID 39132680.pdf</x:v>
      </x:c>
    </x:row>
    <x:row r="35" ht="70" customHeight="1">
      <x:c r="A35" s="10" t="str">
        <x:v>RFC4</x:v>
      </x:c>
      <x:c r="B35" s="10" t="str">
        <x:v>39106866</x:v>
      </x:c>
      <x:c r="C35" s="11" t="d">
        <x:v>2023-11-20T00:00:00.000Z</x:v>
      </x:c>
      <x:c r="D35" s="11" t="d">
        <x:v>2024-07-08T00:00:00.000Z</x:v>
      </x:c>
      <x:c r="E35" s="11" t="d">
        <x:v>2024-07-09T00:00:00.000Z</x:v>
      </x:c>
      <x:c r="F35" s="11" t="d">
        <x:v>2024-08-05T00:00:00.000Z</x:v>
      </x:c>
      <x:c r="G35" s="9" t="str">
        <x:v>Electronic publication (PubMed)</x:v>
      </x:c>
      <x:c r="H35" s="11"/>
      <x:c r="I35" s="11" t="d">
        <x:v>2024-08-05T00:00:00.000Z</x:v>
      </x:c>
      <x:c r="J35" s="11" t="d">
        <x:v>2024-09-05T00:00:00.000Z</x:v>
      </x:c>
      <x:c r="K35" s="9" t="str">
        <x:v>day</x:v>
      </x:c>
      <x:c r="L35" s="9" t="str"/>
      <x:c r="M35" s="9" t="str">
        <x:v>Publication and editorial dates were cross-checked against the supplied PDF and fresh PubMed/Europe PMC metadata. No date discrepancy requiring an exception was found.</x:v>
      </x:c>
      <x:c r="N35" s="9" t="str">
        <x:v>Expanding the genetic and phenotypic landscape of replication factor C complex-related disorders: RFC4 deficiency is linked to a multisystemic disorder.</x:v>
      </x:c>
      <x:c r="O35" s="9" t="str">
        <x:v>10.1016/j.ajhg.2024.07.008</x:v>
      </x:c>
      <x:c r="P35" s="9" t="str">
        <x:v>23</x:v>
      </x:c>
      <x:c r="Q35" s="9" t="str">
        <x:v>https://doi.org/10.1016/j.ajhg.2024.07.008
https://pubmed.ncbi.nlm.nih.gov/39106866/</x:v>
      </x:c>
      <x:c r="R35" s="9" t="str">
        <x:v>RFC4_PMID 39106866.pdf</x:v>
      </x:c>
    </x:row>
    <x:row r="36" ht="56" customHeight="1">
      <x:c r="A36" s="10" t="str">
        <x:v>RNF220</x:v>
      </x:c>
      <x:c r="B36" s="10" t="str">
        <x:v>33964137</x:v>
      </x:c>
      <x:c r="C36" s="11" t="d">
        <x:v>2020-11-17T00:00:00.000Z</x:v>
      </x:c>
      <x:c r="D36" s="11" t="d">
        <x:v>2021-04-14T00:00:00.000Z</x:v>
      </x:c>
      <x:c r="E36" s="11" t="d">
        <x:v>2021-04-29T00:00:00.000Z</x:v>
      </x:c>
      <x:c r="F36" s="11" t="d">
        <x:v>2021-05-08T00:00:00.000Z</x:v>
      </x:c>
      <x:c r="G36" s="9" t="str">
        <x:v>Advance access</x:v>
      </x:c>
      <x:c r="H36" s="11"/>
      <x:c r="I36" s="11"/>
      <x:c r="J36" s="11" t="d">
        <x:v>2021-11-29T00:00:00.000Z</x:v>
      </x:c>
      <x:c r="K36" s="9" t="str">
        <x:v>day</x:v>
      </x:c>
      <x:c r="L36" s="9" t="str"/>
      <x:c r="M36" s="9" t="str">
        <x:v>Supplied PDF p.1 states advance access May 8. PubMed issue November 29 does not supersede first public access.</x:v>
      </x:c>
      <x:c r="N36" s="9" t="str">
        <x:v>Biallelic mutations in RNF220 cause laminopathies featuring leukodystrophy, ataxia and deafness.</x:v>
      </x:c>
      <x:c r="O36" s="9" t="str">
        <x:v>10.1093/brain/awab185</x:v>
      </x:c>
      <x:c r="P36" s="9" t="str">
        <x:v>1</x:v>
      </x:c>
      <x:c r="Q36" s="9" t="str">
        <x:v>https://doi.org/10.1093/brain/awab185
https://pubmed.ncbi.nlm.nih.gov/33964137/</x:v>
      </x:c>
      <x:c r="R36" s="9" t="str">
        <x:v>RNF220_PMID 33964137.pdf</x:v>
      </x:c>
    </x:row>
    <x:row r="37" ht="70" customHeight="1">
      <x:c r="A37" s="10" t="str">
        <x:v>RNU4-2, RNU6-2, RNU6-8, RNU6-9</x:v>
      </x:c>
      <x:c r="B37" s="10" t="str">
        <x:v>41513982</x:v>
      </x:c>
      <x:c r="C37" s="11" t="d">
        <x:v>2025-06-02T00:00:00.000Z</x:v>
      </x:c>
      <x:c r="D37" s="11"/>
      <x:c r="E37" s="11" t="d">
        <x:v>2025-11-14T00:00:00.000Z</x:v>
      </x:c>
      <x:c r="F37" s="11" t="d">
        <x:v>2026-01-09T00:00:00.000Z</x:v>
      </x:c>
      <x:c r="G37" s="9" t="str">
        <x:v>Electronic publication (PubMed)</x:v>
      </x:c>
      <x:c r="H37" s="11"/>
      <x:c r="I37" s="11" t="d">
        <x:v>2026-01-09T00:00:00.000Z</x:v>
      </x:c>
      <x:c r="J37" s="12" t="str">
        <x:v>2026-01</x:v>
      </x:c>
      <x:c r="K37" s="9" t="str">
        <x:v>month</x:v>
      </x:c>
      <x:c r="L37" s="9" t="str"/>
      <x:c r="M37" s="9" t="str">
        <x:v>Four differently gene-labelled ZIP PDFs share this PMID. The journal first-public date is January 9, 2026. The original public target preprint was January 6, 2025. They are versions of the same study, not four independent reports.</x:v>
      </x:c>
      <x:c r="N37" s="9" t="str">
        <x:v>De novo and inherited dominant variants in U4 and U6 snRNA genes cause retinitis pigmentosa.</x:v>
      </x:c>
      <x:c r="O37" s="9" t="str">
        <x:v>10.1038/s41588-025-02451-4</x:v>
      </x:c>
      <x:c r="P37" s="9" t="str">
        <x:v>1</x:v>
      </x:c>
      <x:c r="Q37" s="9" t="str">
        <x:v>https://doi.org/10.1038/s41588-025-02451-4
https://pubmed.ncbi.nlm.nih.gov/41513982/</x:v>
      </x:c>
      <x:c r="R37" s="9" t="str">
        <x:v>RNU6-2_PMID 41513982.pdf
RNU4-2_PMID 41513982.pdf
RNU6-8_PMID 41513982.pdf
RNU6-9_PMID 41513982.pdf</x:v>
      </x:c>
    </x:row>
    <x:row r="38" ht="56" customHeight="1">
      <x:c r="A38" s="10" t="str">
        <x:v>RSG1</x:v>
      </x:c>
      <x:c r="B38" s="10" t="str">
        <x:v>40593758</x:v>
      </x:c>
      <x:c r="C38" s="11" t="d">
        <x:v>2024-09-23T00:00:00.000Z</x:v>
      </x:c>
      <x:c r="D38" s="11"/>
      <x:c r="E38" s="11" t="d">
        <x:v>2025-06-10T00:00:00.000Z</x:v>
      </x:c>
      <x:c r="F38" s="11" t="d">
        <x:v>2025-07-01T00:00:00.000Z</x:v>
      </x:c>
      <x:c r="G38" s="9" t="str">
        <x:v>Electronic publication (PubMed)</x:v>
      </x:c>
      <x:c r="H38" s="11"/>
      <x:c r="I38" s="11" t="d">
        <x:v>2025-07-01T00:00:00.000Z</x:v>
      </x:c>
      <x:c r="J38" s="11" t="d">
        <x:v>2025-07-01T00:00:00.000Z</x:v>
      </x:c>
      <x:c r="K38" s="9" t="str">
        <x:v>day</x:v>
      </x:c>
      <x:c r="L38" s="9" t="str"/>
      <x:c r="M38" s="9" t="str">
        <x:v>Publication and editorial dates were cross-checked against the supplied PDF and fresh PubMed/Europe PMC metadata. No date discrepancy requiring an exception was found.</x:v>
      </x:c>
      <x:c r="N38" s="9" t="str">
        <x:v>The human ciliopathy protein RSG1 links the CPLANE complex to transition zone architecture.</x:v>
      </x:c>
      <x:c r="O38" s="9" t="str">
        <x:v>10.1038/s41467-025-61005-8</x:v>
      </x:c>
      <x:c r="P38" s="9" t="str">
        <x:v>1</x:v>
      </x:c>
      <x:c r="Q38" s="9" t="str">
        <x:v>https://doi.org/10.1038/s41467-025-61005-8
https://pubmed.ncbi.nlm.nih.gov/40593758/</x:v>
      </x:c>
      <x:c r="R38" s="9" t="str">
        <x:v>RSG1_PMID 40593758.pdf</x:v>
      </x:c>
    </x:row>
    <x:row r="39" ht="56" customHeight="1">
      <x:c r="A39" s="10" t="str">
        <x:v>SAXO6</x:v>
      </x:c>
      <x:c r="B39" s="10" t="str">
        <x:v>41742423</x:v>
      </x:c>
      <x:c r="C39" s="11" t="d">
        <x:v>2025-04-01T00:00:00.000Z</x:v>
      </x:c>
      <x:c r="D39" s="11" t="d">
        <x:v>2026-02-01T00:00:00.000Z</x:v>
      </x:c>
      <x:c r="E39" s="11" t="d">
        <x:v>2026-02-02T00:00:00.000Z</x:v>
      </x:c>
      <x:c r="F39" s="11" t="d">
        <x:v>2026-02-24T00:00:00.000Z</x:v>
      </x:c>
      <x:c r="G39" s="9" t="str">
        <x:v>Electronic publication (PubMed)</x:v>
      </x:c>
      <x:c r="H39" s="11"/>
      <x:c r="I39" s="11" t="d">
        <x:v>2026-02-24T00:00:00.000Z</x:v>
      </x:c>
      <x:c r="J39" s="11" t="d">
        <x:v>2026-03-05T00:00:00.000Z</x:v>
      </x:c>
      <x:c r="K39" s="9" t="str">
        <x:v>day</x:v>
      </x:c>
      <x:c r="L39" s="9" t="str"/>
      <x:c r="M39" s="9" t="str">
        <x:v>Publication and editorial dates were cross-checked against the supplied PDF and fresh PubMed/Europe PMC metadata. No date discrepancy requiring an exception was found.</x:v>
      </x:c>
      <x:c r="N39" s="9" t="str">
        <x:v>Loss-of-function variants in SAXO6, encoding a microtubule inner protein of photoreceptor cilia, cause a late-onset retinal dystrophy.</x:v>
      </x:c>
      <x:c r="O39" s="9" t="str">
        <x:v>10.1016/j.ajhg.2026.02.001</x:v>
      </x:c>
      <x:c r="P39" s="9" t="str">
        <x:v>15</x:v>
      </x:c>
      <x:c r="Q39" s="9" t="str">
        <x:v>https://doi.org/10.1016/j.ajhg.2026.02.001
https://pubmed.ncbi.nlm.nih.gov/41742423/</x:v>
      </x:c>
      <x:c r="R39" s="9" t="str">
        <x:v>SAXO6_PMID 41742423.pdf</x:v>
      </x:c>
    </x:row>
    <x:row r="40" ht="56" customHeight="1">
      <x:c r="A40" s="10" t="str">
        <x:v>SCNM1</x:v>
      </x:c>
      <x:c r="B40" s="10" t="str">
        <x:v>36084634</x:v>
      </x:c>
      <x:c r="C40" s="11" t="d">
        <x:v>2021-11-19T00:00:00.000Z</x:v>
      </x:c>
      <x:c r="D40" s="11"/>
      <x:c r="E40" s="11" t="d">
        <x:v>2022-08-12T00:00:00.000Z</x:v>
      </x:c>
      <x:c r="F40" s="11" t="d">
        <x:v>2022-09-08T00:00:00.000Z</x:v>
      </x:c>
      <x:c r="G40" s="9" t="str">
        <x:v>Electronic publication (PubMed)</x:v>
      </x:c>
      <x:c r="H40" s="11"/>
      <x:c r="I40" s="11" t="d">
        <x:v>2022-09-08T00:00:00.000Z</x:v>
      </x:c>
      <x:c r="J40" s="11" t="d">
        <x:v>2022-10-06T00:00:00.000Z</x:v>
      </x:c>
      <x:c r="K40" s="9" t="str">
        <x:v>day</x:v>
      </x:c>
      <x:c r="L40" s="9" t="str"/>
      <x:c r="M40" s="9" t="str">
        <x:v>Publication and editorial dates were cross-checked against the supplied PDF and fresh PubMed/Europe PMC metadata. No date discrepancy requiring an exception was found.</x:v>
      </x:c>
      <x:c r="N40" s="9" t="str">
        <x:v>Mutations in SCNM1 cause orofaciodigital syndrome due to minor intron splicing defects affecting primary cilia.</x:v>
      </x:c>
      <x:c r="O40" s="9" t="str">
        <x:v>10.1016/j.ajhg.2022.08.009</x:v>
      </x:c>
      <x:c r="P40" s="9" t="str">
        <x:v>21</x:v>
      </x:c>
      <x:c r="Q40" s="9" t="str">
        <x:v>https://doi.org/10.1016/j.ajhg.2022.08.009
https://pubmed.ncbi.nlm.nih.gov/36084634/</x:v>
      </x:c>
      <x:c r="R40" s="9" t="str">
        <x:v>SCNM1_PMID 36084634.pdf</x:v>
      </x:c>
    </x:row>
    <x:row r="41" ht="56" customHeight="1">
      <x:c r="A41" s="10" t="str">
        <x:v>SLC66A1</x:v>
      </x:c>
      <x:c r="B41" s="10" t="str">
        <x:v>35486108</x:v>
      </x:c>
      <x:c r="C41" s="11" t="d">
        <x:v>2021-09-28T00:00:00.000Z</x:v>
      </x:c>
      <x:c r="D41" s="11" t="d">
        <x:v>2022-03-20T00:00:00.000Z</x:v>
      </x:c>
      <x:c r="E41" s="11" t="d">
        <x:v>2022-03-28T00:00:00.000Z</x:v>
      </x:c>
      <x:c r="F41" s="11" t="d">
        <x:v>2022-04-29T00:00:00.000Z</x:v>
      </x:c>
      <x:c r="G41" s="9" t="str">
        <x:v>Electronic publication (PubMed)</x:v>
      </x:c>
      <x:c r="H41" s="11"/>
      <x:c r="I41" s="11" t="d">
        <x:v>2022-04-29T00:00:00.000Z</x:v>
      </x:c>
      <x:c r="J41" s="12" t="str">
        <x:v>2022-07</x:v>
      </x:c>
      <x:c r="K41" s="9" t="str">
        <x:v>month</x:v>
      </x:c>
      <x:c r="L41" s="9" t="str"/>
      <x:c r="M41" s="9" t="str">
        <x:v>Publication and editorial dates were cross-checked against the supplied PDF and fresh PubMed/Europe PMC metadata. No date discrepancy requiring an exception was found.</x:v>
      </x:c>
      <x:c r="N41" s="9" t="str">
        <x:v>Identification of autosomal recessive novel genes and retinal phenotypes in members of the solute carrier (SLC) superfamily.</x:v>
      </x:c>
      <x:c r="O41" s="9" t="str">
        <x:v>10.1016/j.gim.2022.03.020</x:v>
      </x:c>
      <x:c r="P41" s="9" t="str">
        <x:v>1, 10</x:v>
      </x:c>
      <x:c r="Q41" s="9" t="str">
        <x:v>https://doi.org/10.1016/j.gim.2022.03.020
https://pubmed.ncbi.nlm.nih.gov/35486108/</x:v>
      </x:c>
      <x:c r="R41" s="9" t="str">
        <x:v>SLC66A1_PMID 35486108.pdf</x:v>
      </x:c>
    </x:row>
    <x:row r="42" ht="56" customHeight="1">
      <x:c r="A42" s="10" t="str">
        <x:v>SPATA5L1</x:v>
      </x:c>
      <x:c r="B42" s="10" t="str">
        <x:v>34626583</x:v>
      </x:c>
      <x:c r="C42" s="11" t="d">
        <x:v>2021-05-28T00:00:00.000Z</x:v>
      </x:c>
      <x:c r="D42" s="11"/>
      <x:c r="E42" s="11" t="d">
        <x:v>2021-08-04T00:00:00.000Z</x:v>
      </x:c>
      <x:c r="F42" s="11" t="d">
        <x:v>2021-10-07T00:00:00.000Z</x:v>
      </x:c>
      <x:c r="G42" s="9" t="str">
        <x:v>Published (PDF history)</x:v>
      </x:c>
      <x:c r="H42" s="11"/>
      <x:c r="I42" s="11"/>
      <x:c r="J42" s="11" t="d">
        <x:v>2021-10-07T00:00:00.000Z</x:v>
      </x:c>
      <x:c r="K42" s="9" t="str">
        <x:v>day</x:v>
      </x:c>
      <x:c r="L42" s="9" t="str"/>
      <x:c r="M42" s="9" t="str">
        <x:v>Supplied PDF history states publication October 7. No separate Electronic date is present in the PubMed record.</x:v>
      </x:c>
      <x:c r="N42" s="9" t="str">
        <x:v>Bi-allelic variants in SPATA5L1 lead to intellectual disability, spastic-dystonic cerebral palsy, epilepsy, and hearing loss.</x:v>
      </x:c>
      <x:c r="O42" s="9" t="str">
        <x:v>10.1016/j.ajhg.2021.08.003</x:v>
      </x:c>
      <x:c r="P42" s="9" t="str">
        <x:v>6, 10</x:v>
      </x:c>
      <x:c r="Q42" s="9" t="str">
        <x:v>https://doi.org/10.1016/j.ajhg.2021.08.003
https://pubmed.ncbi.nlm.nih.gov/34626583/</x:v>
      </x:c>
      <x:c r="R42" s="9" t="str">
        <x:v>SPATA5L1_PMID 34626583.pdf</x:v>
      </x:c>
    </x:row>
    <x:row r="43" ht="70" customHeight="1">
      <x:c r="A43" s="10" t="str">
        <x:v>STX3</x:v>
      </x:c>
      <x:c r="B43" s="10" t="str">
        <x:v>33974130</x:v>
      </x:c>
      <x:c r="C43" s="11" t="d">
        <x:v>2021-02-17T00:00:00.000Z</x:v>
      </x:c>
      <x:c r="D43" s="11"/>
      <x:c r="E43" s="11" t="d">
        <x:v>2021-04-15T00:00:00.000Z</x:v>
      </x:c>
      <x:c r="F43" s="11" t="d">
        <x:v>2021-05-11T00:00:00.000Z</x:v>
      </x:c>
      <x:c r="G43" s="9" t="str">
        <x:v>Electronic publication (PubMed)</x:v>
      </x:c>
      <x:c r="H43" s="11"/>
      <x:c r="I43" s="11" t="d">
        <x:v>2021-05-11T00:00:00.000Z</x:v>
      </x:c>
      <x:c r="J43" s="12" t="str">
        <x:v>2021-08</x:v>
      </x:c>
      <x:c r="K43" s="9" t="str">
        <x:v>month</x:v>
      </x:c>
      <x:c r="L43" s="9" t="str"/>
      <x:c r="M43" s="9" t="str">
        <x:v>Publication and editorial dates were cross-checked against the supplied PDF and fresh PubMed/Europe PMC metadata. No date discrepancy requiring an exception was found.</x:v>
      </x:c>
      <x:c r="N43" s="9" t="str">
        <x:v>Pathogenic STX3 variants affecting the retinal and intestinal transcripts cause an early-onset severe retinal dystrophy in microvillus inclusion disease subjects.</x:v>
      </x:c>
      <x:c r="O43" s="9" t="str">
        <x:v>10.1007/s00439-021-02284-1</x:v>
      </x:c>
      <x:c r="P43" s="9" t="str">
        <x:v>1</x:v>
      </x:c>
      <x:c r="Q43" s="9" t="str">
        <x:v>https://doi.org/10.1007/s00439-021-02284-1
https://pubmed.ncbi.nlm.nih.gov/33974130/</x:v>
      </x:c>
      <x:c r="R43" s="9" t="str">
        <x:v>STX3_PMID 33974130.pdf</x:v>
      </x:c>
    </x:row>
    <x:row r="44" ht="56" customHeight="1">
      <x:c r="A44" s="10" t="str">
        <x:v>TMEM72</x:v>
      </x:c>
      <x:c r="B44" s="10" t="str">
        <x:v>41308066</x:v>
      </x:c>
      <x:c r="C44" s="11" t="d">
        <x:v>2024-12-21T00:00:00.000Z</x:v>
      </x:c>
      <x:c r="D44" s="11"/>
      <x:c r="E44" s="11" t="d">
        <x:v>2025-11-12T00:00:00.000Z</x:v>
      </x:c>
      <x:c r="F44" s="11" t="d">
        <x:v>2025-11-27T00:00:00.000Z</x:v>
      </x:c>
      <x:c r="G44" s="9" t="str">
        <x:v>Electronic publication (PubMed)</x:v>
      </x:c>
      <x:c r="H44" s="11"/>
      <x:c r="I44" s="11" t="d">
        <x:v>2025-11-27T00:00:00.000Z</x:v>
      </x:c>
      <x:c r="J44" s="12" t="str">
        <x:v>2026-04</x:v>
      </x:c>
      <x:c r="K44" s="9" t="str">
        <x:v>month</x:v>
      </x:c>
      <x:c r="L44" s="9" t="str"/>
      <x:c r="M44" s="9" t="str">
        <x:v>Publisher records online publication November 27, 2025 and April 2026 issue (150[4]). Neither date describes the earlier 2021 conference report.</x:v>
      </x:c>
      <x:c r="N44" s="9" t="str">
        <x:v>Biallelic TMEM72 Variants in Patients with a Nephronophthisis-Like Phenotype.</x:v>
      </x:c>
      <x:c r="O44" s="9" t="str">
        <x:v>10.1159/000549598</x:v>
      </x:c>
      <x:c r="P44" s="9" t="str">
        <x:v>1, 16</x:v>
      </x:c>
      <x:c r="Q44" s="9" t="str">
        <x:v>https://karger.com/nef/article/150/4/210/940102/Biallelic-TMEM72-Variants-in-Patients-with-a
https://pubmed.ncbi.nlm.nih.gov/41308066/</x:v>
      </x:c>
      <x:c r="R44" s="9" t="str">
        <x:v>TMEM72_PMID 41308066.pdf</x:v>
      </x:c>
    </x:row>
    <x:row r="45" ht="56" customHeight="1">
      <x:c r="A45" s="10" t="str">
        <x:v>TP73</x:v>
      </x:c>
      <x:c r="B45" s="10" t="str">
        <x:v>34077761</x:v>
      </x:c>
      <x:c r="C45" s="11" t="d">
        <x:v>2021-01-15T00:00:00.000Z</x:v>
      </x:c>
      <x:c r="D45" s="11"/>
      <x:c r="E45" s="11" t="d">
        <x:v>2021-05-06T00:00:00.000Z</x:v>
      </x:c>
      <x:c r="F45" s="11" t="d">
        <x:v>2021-06-01T00:00:00.000Z</x:v>
      </x:c>
      <x:c r="G45" s="9" t="str">
        <x:v>Electronic publication (PubMed)</x:v>
      </x:c>
      <x:c r="H45" s="11"/>
      <x:c r="I45" s="11" t="d">
        <x:v>2021-06-01T00:00:00.000Z</x:v>
      </x:c>
      <x:c r="J45" s="11" t="d">
        <x:v>2021-07-01T00:00:00.000Z</x:v>
      </x:c>
      <x:c r="K45" s="9" t="str">
        <x:v>day</x:v>
      </x:c>
      <x:c r="L45" s="9" t="str"/>
      <x:c r="M45" s="9" t="str">
        <x:v>Publication and editorial dates were cross-checked against the supplied PDF and fresh PubMed/Europe PMC metadata. No date discrepancy requiring an exception was found.</x:v>
      </x:c>
      <x:c r="N45" s="9" t="str">
        <x:v>Mutations in TP73 cause impaired mucociliary clearance and lissencephaly.</x:v>
      </x:c>
      <x:c r="O45" s="9" t="str">
        <x:v>10.1016/j.ajhg.2021.05.002</x:v>
      </x:c>
      <x:c r="P45" s="9" t="str">
        <x:v>11</x:v>
      </x:c>
      <x:c r="Q45" s="9" t="str">
        <x:v>https://doi.org/10.1016/j.ajhg.2021.05.002
https://pubmed.ncbi.nlm.nih.gov/34077761/</x:v>
      </x:c>
      <x:c r="R45" s="9" t="str">
        <x:v>TP73_PMID 34077761.pdf</x:v>
      </x:c>
    </x:row>
    <x:row r="46" ht="56" customHeight="1">
      <x:c r="A46" s="10" t="str">
        <x:v>UBAP1L</x:v>
      </x:c>
      <x:c r="B46" s="10" t="str">
        <x:v>38293907</x:v>
      </x:c>
      <x:c r="C46" s="11" t="d">
        <x:v>2023-07-17T00:00:00.000Z</x:v>
      </x:c>
      <x:c r="D46" s="11" t="d">
        <x:v>2024-01-16T00:00:00.000Z</x:v>
      </x:c>
      <x:c r="E46" s="11" t="d">
        <x:v>2024-01-19T00:00:00.000Z</x:v>
      </x:c>
      <x:c r="F46" s="11" t="d">
        <x:v>2024-01-28T00:00:00.000Z</x:v>
      </x:c>
      <x:c r="G46" s="9" t="str">
        <x:v>Electronic publication (PubMed)</x:v>
      </x:c>
      <x:c r="H46" s="11"/>
      <x:c r="I46" s="11" t="d">
        <x:v>2024-01-28T00:00:00.000Z</x:v>
      </x:c>
      <x:c r="J46" s="12" t="str">
        <x:v>2024-06</x:v>
      </x:c>
      <x:c r="K46" s="9" t="str">
        <x:v>month</x:v>
      </x:c>
      <x:c r="L46" s="9" t="str"/>
      <x:c r="M46" s="9" t="str">
        <x:v>Publication and editorial dates were cross-checked against the supplied PDF and fresh PubMed/Europe PMC metadata. No date discrepancy requiring an exception was found.</x:v>
      </x:c>
      <x:c r="N46" s="9" t="str">
        <x:v>Variants in UBAP1L lead to autosomal recessive rod-cone and cone-rod dystrophy.</x:v>
      </x:c>
      <x:c r="O46" s="9" t="str">
        <x:v>10.1016/j.gim.2024.101081</x:v>
      </x:c>
      <x:c r="P46" s="9" t="str">
        <x:v>1</x:v>
      </x:c>
      <x:c r="Q46" s="9" t="str">
        <x:v>https://doi.org/10.1016/j.gim.2024.101081
https://pubmed.ncbi.nlm.nih.gov/38293907/</x:v>
      </x:c>
      <x:c r="R46" s="9" t="str">
        <x:v>UBAP1L_PMID 38293907.pdf</x:v>
      </x:c>
    </x:row>
    <x:row r="47" ht="56" customHeight="1">
      <x:c r="A47" s="10" t="str">
        <x:v>USP48</x:v>
      </x:c>
      <x:c r="B47" s="10" t="str">
        <x:v>34059922</x:v>
      </x:c>
      <x:c r="C47" s="11" t="d">
        <x:v>2021-04-29T00:00:00.000Z</x:v>
      </x:c>
      <x:c r="D47" s="11" t="d">
        <x:v>2021-05-25T00:00:00.000Z</x:v>
      </x:c>
      <x:c r="E47" s="11" t="d">
        <x:v>2021-05-25T00:00:00.000Z</x:v>
      </x:c>
      <x:c r="F47" s="11" t="d">
        <x:v>2021-05-31T00:00:00.000Z</x:v>
      </x:c>
      <x:c r="G47" s="9" t="str">
        <x:v>Advance access</x:v>
      </x:c>
      <x:c r="H47" s="11"/>
      <x:c r="I47" s="11"/>
      <x:c r="J47" s="11" t="d">
        <x:v>2021-09-15T00:00:00.000Z</x:v>
      </x:c>
      <x:c r="K47" s="9" t="str">
        <x:v>day</x:v>
      </x:c>
      <x:c r="L47" s="9" t="str"/>
      <x:c r="M47" s="9" t="str">
        <x:v>Supplied PDF p.1 states advance access May 31. May 25 is the acceptance date.</x:v>
      </x:c>
      <x:c r="N47" s="9" t="str">
        <x:v>Variants in USP48 encoding ubiquitin hydrolase are associated with autosomal dominant non-syndromic hereditary hearing loss.</x:v>
      </x:c>
      <x:c r="O47" s="9" t="str">
        <x:v>10.1093/hmg/ddab145</x:v>
      </x:c>
      <x:c r="P47" s="9" t="str">
        <x:v>1</x:v>
      </x:c>
      <x:c r="Q47" s="9" t="str">
        <x:v>https://doi.org/10.1093/hmg/ddab145
https://pubmed.ncbi.nlm.nih.gov/34059922/</x:v>
      </x:c>
      <x:c r="R47" s="9" t="str">
        <x:v>USP48_PMID 34059922.pdf</x:v>
      </x:c>
    </x:row>
    <x:row r="48" ht="70" customHeight="1">
      <x:c r="A48" s="10" t="str">
        <x:v>VWA8</x:v>
      </x:c>
      <x:c r="B48" s="10" t="str">
        <x:v>34660594</x:v>
      </x:c>
      <x:c r="C48" s="11" t="d">
        <x:v>2021-07-06T00:00:00.000Z</x:v>
      </x:c>
      <x:c r="D48" s="11"/>
      <x:c r="E48" s="11" t="d">
        <x:v>2021-08-26T00:00:00.000Z</x:v>
      </x:c>
      <x:c r="F48" s="11" t="d">
        <x:v>2021-10-01T00:00:00.000Z</x:v>
      </x:c>
      <x:c r="G48" s="9" t="str">
        <x:v>Electronic publication (PubMed)</x:v>
      </x:c>
      <x:c r="H48" s="11"/>
      <x:c r="I48" s="11" t="d">
        <x:v>2021-10-01T00:00:00.000Z</x:v>
      </x:c>
      <x:c r="J48" s="12" t="str">
        <x:v>2021</x:v>
      </x:c>
      <x:c r="K48" s="9" t="str">
        <x:v>year</x:v>
      </x:c>
      <x:c r="L48" s="9" t="str"/>
      <x:c r="M48" s="9" t="str">
        <x:v>Publication and editorial dates were cross-checked against the supplied PDF and fresh PubMed/Europe PMC metadata. No date discrepancy requiring an exception was found.</x:v>
      </x:c>
      <x:c r="N48" s="9" t="str">
        <x:v>Mutated &lt;i&gt;VWA8&lt;/i&gt; Is Associated With Developmental Delay, Microcephaly, and Scoliosis and Plays a Novel Role in Early Development and Skeletal Morphogenesis in Zebrafish.</x:v>
      </x:c>
      <x:c r="O48" s="9" t="str">
        <x:v>10.3389/fcell.2021.736960</x:v>
      </x:c>
      <x:c r="P48" s="9" t="str">
        <x:v>1</x:v>
      </x:c>
      <x:c r="Q48" s="9" t="str">
        <x:v>https://doi.org/10.3389/fcell.2021.736960
https://pubmed.ncbi.nlm.nih.gov/34660594/</x:v>
      </x:c>
      <x:c r="R48" s="9" t="str">
        <x:v>VWA8_PMID 34660594.pdf</x:v>
      </x:c>
    </x:row>
    <x:row r="49" ht="56" customHeight="1">
      <x:c r="A49" s="10" t="str">
        <x:v>XXYLT1</x:v>
      </x:c>
      <x:c r="B49" s="10" t="str">
        <x:v>42530953</x:v>
      </x:c>
      <x:c r="C49" s="11"/>
      <x:c r="D49" s="11"/>
      <x:c r="E49" s="11" t="d">
        <x:v>2026-05-31T00:00:00.000Z</x:v>
      </x:c>
      <x:c r="F49" s="11" t="d">
        <x:v>2026-07-30T00:00:00.000Z</x:v>
      </x:c>
      <x:c r="G49" s="9" t="str">
        <x:v>Published online</x:v>
      </x:c>
      <x:c r="H49" s="11"/>
      <x:c r="I49" s="11"/>
      <x:c r="J49" s="11" t="d">
        <x:v>2026-09-01T00:00:00.000Z</x:v>
      </x:c>
      <x:c r="K49" s="9" t="str">
        <x:v>day</x:v>
      </x:c>
      <x:c r="L49" s="9" t="str"/>
      <x:c r="M49" s="9" t="str">
        <x:v>Supplied PDF p.1 and article information explicitly state July 30 online publication. September 1 is the PubMed issue date.</x:v>
      </x:c>
      <x:c r="N49" s="9" t="str">
        <x:v>XXYLT1 and Mendelian Retinal Dystrophy.</x:v>
      </x:c>
      <x:c r="O49" s="9" t="str">
        <x:v>10.1001/jamaophthalmol.2026.2795</x:v>
      </x:c>
      <x:c r="P49" s="9" t="str">
        <x:v>1, 2, 9</x:v>
      </x:c>
      <x:c r="Q49" s="9" t="str">
        <x:v>https://doi.org/10.1001/jamaophthalmol.2026.2795
https://pubmed.ncbi.nlm.nih.gov/42530953/</x:v>
      </x:c>
      <x:c r="R49" s="9" t="str">
        <x:v>XXYLT1_PMID 42530953.pdf</x:v>
      </x:c>
    </x:row>
    <x:row r="50">
      <x:c r="A50" s="2"/>
      <x:c r="B50" s="2"/>
      <x:c r="C50" s="2"/>
      <x:c r="D50" s="2"/>
      <x:c r="E50" s="2"/>
      <x:c r="F50" s="2"/>
      <x:c r="G50" s="2"/>
      <x:c r="H50" s="2"/>
      <x:c r="I50" s="2"/>
      <x:c r="J50" s="2"/>
      <x:c r="K50" s="2"/>
      <x:c r="L50" s="2"/>
      <x:c r="M50" s="2"/>
      <x:c r="N50" s="2"/>
      <x:c r="O50" s="2"/>
      <x:c r="P50" s="2"/>
      <x:c r="Q50" s="2"/>
      <x:c r="R50" s="2"/>
    </x:row>
  </x:sheetData>
  <x:pageMargins left="0.7" right="0.7" top="0.75" bottom="0.75" header="0.3" footer="0.3"/>
  <x:tableParts count="1">
    <x:tablePart xmlns:r="http://schemas.openxmlformats.org/officeDocument/2006/relationships" r:id="Rb5f35fe8a3474336"/>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9" hidden="0" customWidth="1"/>
    <x:col min="2" max="2" width="22" hidden="0" customWidth="1"/>
    <x:col min="3" max="3" width="17" hidden="0" customWidth="1"/>
    <x:col min="4" max="4" width="40" hidden="0" customWidth="1"/>
    <x:col min="5" max="5" width="86" hidden="0" customWidth="1"/>
    <x:col min="6" max="6" width="86" hidden="0" customWidth="1"/>
    <x:col min="7" max="7" width="86" hidden="0" customWidth="1"/>
  </x:cols>
  <x:sheetData>
    <x:row r="1">
      <x:c r="A1" s="2"/>
      <x:c r="B1" s="2"/>
      <x:c r="C1" s="2"/>
      <x:c r="D1" s="2"/>
      <x:c r="E1" s="2"/>
      <x:c r="F1" s="2"/>
      <x:c r="G1" s="2"/>
    </x:row>
    <x:row r="2" ht="30" customHeight="1">
      <x:c r="A2" s="3" t="str">
        <x:v>Earlier versions, conferences and thesis dates</x:v>
      </x:c>
      <x:c r="B2" s="2"/>
      <x:c r="C2" s="2"/>
      <x:c r="D2" s="2"/>
      <x:c r="E2" s="2"/>
      <x:c r="F2" s="2"/>
      <x:c r="G2" s="2"/>
    </x:row>
    <x:row r="3">
      <x:c r="A3" s="2" t="str">
        <x:v>15 event records. A thesis award/submission and a scheduled talk do not establish an exact first public-release day.</x:v>
      </x:c>
      <x:c r="B3" s="2"/>
      <x:c r="C3" s="2"/>
      <x:c r="D3" s="2"/>
      <x:c r="E3" s="2"/>
      <x:c r="F3" s="2"/>
      <x:c r="G3" s="2"/>
    </x:row>
    <x:row r="4">
      <x:c r="A4" s="2"/>
      <x:c r="B4" s="2"/>
      <x:c r="C4" s="2"/>
      <x:c r="D4" s="2"/>
      <x:c r="E4" s="2"/>
      <x:c r="F4" s="2"/>
      <x:c r="G4" s="2"/>
    </x:row>
    <x:row r="5" ht="56" customHeight="1">
      <x:c r="A5" s="8" t="str">
        <x:v>Gene(s)</x:v>
      </x:c>
      <x:c r="B5" s="8" t="str">
        <x:v>Event date / period</x:v>
      </x:c>
      <x:c r="C5" s="8" t="str">
        <x:v>Date precision</x:v>
      </x:c>
      <x:c r="D5" s="8" t="str">
        <x:v>Event type</x:v>
      </x:c>
      <x:c r="E5" s="8" t="str">
        <x:v>What was verified</x:v>
      </x:c>
      <x:c r="F5" s="8" t="str">
        <x:v>Limit / interpretation</x:v>
      </x:c>
      <x:c r="G5" s="8" t="str">
        <x:v>Source</x:v>
      </x:c>
    </x:row>
    <x:row r="6" ht="64" customHeight="1">
      <x:c r="A6" s="10" t="str">
        <x:v>ATP11A</x:v>
      </x:c>
      <x:c r="B6" s="11" t="d">
        <x:v>2021-05-28T00:00:00.000Z</x:v>
      </x:c>
      <x:c r="C6" s="9" t="str">
        <x:v>day</x:v>
      </x:c>
      <x:c r="D6" s="9" t="str">
        <x:v>Public preprint v1</x:v>
      </x:c>
      <x:c r="E6" s="9" t="str">
        <x:v>Research Square original human hearing-association abstract checked. Europe PMC PPR349560 records May 28, 2021.</x:v>
      </x:c>
      <x:c r="F6" s="9" t="str">
        <x:v>The browser text did not expose the dynamic posting date. Exact date is independently registered in Europe PMC, not inferred from manuscript receipt.</x:v>
      </x:c>
      <x:c r="G6" s="9" t="str">
        <x:v>https://www.researchsquare.com/article/rs-530835/v1</x:v>
      </x:c>
    </x:row>
    <x:row r="7" ht="64" customHeight="1">
      <x:c r="A7" s="10" t="str">
        <x:v>GPATCH11</x:v>
      </x:c>
      <x:c r="B7" s="11" t="d">
        <x:v>2023-08-21T00:00:00.000Z</x:v>
      </x:c>
      <x:c r="C7" s="9" t="str">
        <x:v>day</x:v>
      </x:c>
      <x:c r="D7" s="9" t="str">
        <x:v>Public preprint v1</x:v>
      </x:c>
      <x:c r="E7" s="9" t="str">
        <x:v>Primary preprint explicitly shows Posted August 21, 2023 and human retinal cases. Registry PPR705483 agrees.</x:v>
      </x:c>
      <x:c r="F7" s="9" t="str">
        <x:v>The DOI contains August 19, which is not the posting date.</x:v>
      </x:c>
      <x:c r="G7" s="9" t="str">
        <x:v>https://www.medrxiv.org/content/10.1101/2023.08.19.23293832v1</x:v>
      </x:c>
    </x:row>
    <x:row r="8" ht="64" customHeight="1">
      <x:c r="A8" s="10" t="str">
        <x:v>MRPL49</x:v>
      </x:c>
      <x:c r="B8" s="11" t="d">
        <x:v>2024-10-11T00:00:00.000Z</x:v>
      </x:c>
      <x:c r="C8" s="9" t="str">
        <x:v>day</x:v>
      </x:c>
      <x:c r="D8" s="9" t="str">
        <x:v>Public preprint v1</x:v>
      </x:c>
      <x:c r="E8" s="9" t="str">
        <x:v>Primary preprint explicitly shows Posted October 11, 2024 and human hearing/retinal cases. Registry PPR923018 agrees.</x:v>
      </x:c>
      <x:c r="F8" s="9" t="str">
        <x:v>An earlier thesis names the potential association. This preprint is not proved to be the first public disclosure.</x:v>
      </x:c>
      <x:c r="G8" s="9" t="str">
        <x:v>https://www.medrxiv.org/content/10.1101/2024.10.10.24315152v1</x:v>
      </x:c>
    </x:row>
    <x:row r="9" ht="64" customHeight="1">
      <x:c r="A9" s="10" t="str">
        <x:v>PKHD1L1</x:v>
      </x:c>
      <x:c r="B9" s="11" t="d">
        <x:v>2023-10-09T00:00:00.000Z</x:v>
      </x:c>
      <x:c r="C9" s="9" t="str">
        <x:v>day</x:v>
      </x:c>
      <x:c r="D9" s="9" t="str">
        <x:v>Public preprint v1</x:v>
      </x:c>
      <x:c r="E9" s="9" t="str">
        <x:v>Primary medRxiv record DOI 10.1101/2023.10.08.23296081 and PMC version notice identify original publication October 9. Registry PPR737916 agrees.</x:v>
      </x:c>
      <x:c r="F9" s="9" t="str">
        <x:v>The journal received date happens to be the same. December 19 is preprint version 2, not the first release. DOI October 8 is not the posting day.</x:v>
      </x:c>
      <x:c r="G9" s="9" t="str">
        <x:v>https://pmc.ncbi.nlm.nih.gov/articles/PMC10593026/</x:v>
      </x:c>
    </x:row>
    <x:row r="10" ht="68" customHeight="1">
      <x:c r="A10" s="10" t="str">
        <x:v>PLCG1</x:v>
      </x:c>
      <x:c r="B10" s="11" t="d">
        <x:v>2024-01-09T00:00:00.000Z</x:v>
      </x:c>
      <x:c r="C10" s="9" t="str">
        <x:v>day</x:v>
      </x:c>
      <x:c r="D10" s="9" t="str">
        <x:v>Public target preprint</x:v>
      </x:c>
      <x:c r="E10" s="9" t="str">
        <x:v>Supplied PDF p.1 and primary eLife version history identify original preprint posting January 9, 2024. Registry PPR785159 DOI 10.1101/2024.01.08.23300523 agrees.</x:v>
      </x:c>
      <x:c r="F10" s="9" t="str">
        <x:v>The separate 2023 immune-disorder article concerns the prior non-target disease domain.</x:v>
      </x:c>
      <x:c r="G10" s="9" t="str">
        <x:v>https://elifesciences.org/reviewed-preprints/95887v1</x:v>
      </x:c>
    </x:row>
    <x:row r="11" ht="64" customHeight="1">
      <x:c r="A11" s="10" t="str">
        <x:v>PLCG1</x:v>
      </x:c>
      <x:c r="B11" s="11" t="d">
        <x:v>2024-04-19T00:00:00.000Z</x:v>
      </x:c>
      <x:c r="C11" s="9" t="str">
        <x:v>day</x:v>
      </x:c>
      <x:c r="D11" s="9" t="str">
        <x:v>Public reviewed preprint v1</x:v>
      </x:c>
      <x:c r="E11" s="9" t="str">
        <x:v>Publisher and supplied PDF p.1 explicitly distinguish the April 19 reviewed preprint from the 2025 Version of Record.</x:v>
      </x:c>
      <x:c r="F11" s="9" t="str">
        <x:v>Public journal-hosted reviewed preprint is an earlier version, not the original January preprint or the 2025 final article.</x:v>
      </x:c>
      <x:c r="G11" s="9" t="str">
        <x:v>https://elifesciences.org/reviewed-preprints/95887v1</x:v>
      </x:c>
    </x:row>
    <x:row r="12" ht="68" customHeight="1">
      <x:c r="A12" s="10" t="str">
        <x:v>RSG1</x:v>
      </x:c>
      <x:c r="B12" s="11" t="d">
        <x:v>2024-09-26T00:00:00.000Z</x:v>
      </x:c>
      <x:c r="C12" s="9" t="str">
        <x:v>day</x:v>
      </x:c>
      <x:c r="D12" s="9" t="str">
        <x:v>Public preprint v1</x:v>
      </x:c>
      <x:c r="E12" s="9" t="str">
        <x:v>Fresh Europe PMC PPR915961 metadata matches the target ciliopathy title and September 26, 2024 first-publication date.</x:v>
      </x:c>
      <x:c r="F12" s="9" t="str">
        <x:v>Direct primary preprint page was unavailable to the browser during this audit. Exact posting date checked in the registry; do not describe this as a new primary-page date confirmation.</x:v>
      </x:c>
      <x:c r="G12" s="9" t="str">
        <x:v>https://www.biorxiv.org/content/10.1101/2024.09.25.614984v1</x:v>
      </x:c>
    </x:row>
    <x:row r="13" ht="64" customHeight="1">
      <x:c r="A13" s="10" t="str">
        <x:v>RNU4-2, RNU6-2, RNU6-8, RNU6-9</x:v>
      </x:c>
      <x:c r="B13" s="11" t="d">
        <x:v>2025-01-06T00:00:00.000Z</x:v>
      </x:c>
      <x:c r="C13" s="9" t="str">
        <x:v>day</x:v>
      </x:c>
      <x:c r="D13" s="9" t="str">
        <x:v>Public retinal preprint v1</x:v>
      </x:c>
      <x:c r="E13" s="9" t="str">
        <x:v>Original preprint PDF header states version posted January 6, 2025. Fresh PPR963443 agrees with the retinal-association title.</x:v>
      </x:c>
      <x:c r="F13" s="9" t="str">
        <x:v>One shared study and date for four genes. This date audit does not re-adjudicate each gene's clinical family evidence.</x:v>
      </x:c>
      <x:c r="G13" s="9" t="str">
        <x:v>https://www.medrxiv.org/content/10.1101/2025.01.06.24317169v1.full.pdf</x:v>
      </x:c>
    </x:row>
    <x:row r="14" ht="68" customHeight="1">
      <x:c r="A14" s="10" t="str">
        <x:v>TMEM72</x:v>
      </x:c>
      <x:c r="B14" s="11" t="d">
        <x:v>2021-08-31T00:00:00.000Z</x:v>
      </x:c>
      <x:c r="C14" s="9" t="str">
        <x:v>day</x:v>
      </x:c>
      <x:c r="D14" s="9" t="str">
        <x:v>Conference presentation scheduled</x:v>
      </x:c>
      <x:c r="E14" s="9" t="str">
        <x:v>Official ESHG 2021 programme session C23.1 schedules the human TMEM72/nephronophthisis report for August 31. The 2022 published meeting abstract concerns the same target human association.</x:v>
      </x:c>
      <x:c r="F14" s="9" t="str">
        <x:v>Scheduled presentation day is documented. Exact first online release of the programme/abstract, or actual presentation, is not established. Retain a publicity interval rather than certify this as an exact first-release day.</x:v>
      </x:c>
      <x:c r="G14" s="9" t="str">
        <x:v>https://2021.eshg.org/programme/tuesday-august-31-virtual-conference/</x:v>
      </x:c>
    </x:row>
    <x:row r="15" ht="68" customHeight="1">
      <x:c r="A15" s="10" t="str">
        <x:v>TMEM72</x:v>
      </x:c>
      <x:c r="B15" s="12" t="str">
        <x:v>2022-04</x:v>
      </x:c>
      <x:c r="C15" s="9" t="str">
        <x:v>month</x:v>
      </x:c>
      <x:c r="D15" s="9" t="str">
        <x:v>Published meeting abstract</x:v>
      </x:c>
      <x:c r="E15" s="9" t="str">
        <x:v>Author institution records EJHG 30 supplement 1, p.78, April 2022. Primary abstract PDF DOI 10.1038/s41431-021-01025-2, p.78, contains the human target association.</x:v>
      </x:c>
      <x:c r="F15" s="9" t="str">
        <x:v>Month precision only. DOI year 2021 is not proof of the online publication year. Abstract source: https://www.nature.com/articles/s41431-021-01025-2.pdf</x:v>
      </x:c>
      <x:c r="G15" s="9" t="str">
        <x:v>https://researchinformation.umcutrecht.nl/en/publications/biallelic-tmem72-variants-in-patients-with-nephronophthisis-like-/</x:v>
      </x:c>
    </x:row>
    <x:row r="16" ht="68" customHeight="1">
      <x:c r="A16" s="10" t="str">
        <x:v>CREB3</x:v>
      </x:c>
      <x:c r="B16" s="12" t="str">
        <x:v>2024-05</x:v>
      </x:c>
      <x:c r="C16" s="9" t="str">
        <x:v>month</x:v>
      </x:c>
      <x:c r="D16" s="9" t="str">
        <x:v>Author-program conference record</x:v>
      </x:c>
      <x:c r="E16" s="9" t="str">
        <x:v>Author programme records a May 2024 IIRDC presentation explicitly naming the CREB3 human retinal association.</x:v>
      </x:c>
      <x:c r="F16" s="9" t="str">
        <x:v>Retrospective programme record. Original dated abstract and exact public release not located. May 1 in the old Excel is an interval lower bound, not a verified exact day.</x:v>
      </x:c>
      <x:c r="G16" s="9" t="str">
        <x:v>https://step-gtp.org/step-accomplishments/</x:v>
      </x:c>
    </x:row>
    <x:row r="17" ht="64" customHeight="1">
      <x:c r="A17" s="10" t="str">
        <x:v>CREB3</x:v>
      </x:c>
      <x:c r="B17" s="12" t="str">
        <x:v>2024-07</x:v>
      </x:c>
      <x:c r="C17" s="9" t="str">
        <x:v>month</x:v>
      </x:c>
      <x:c r="D17" s="9" t="str">
        <x:v>Author-program conference record</x:v>
      </x:c>
      <x:c r="E17" s="9" t="str">
        <x:v>Author programme records a July 2024 ISVER presentation explicitly naming the CREB3 human retinal association.</x:v>
      </x:c>
      <x:c r="F17" s="9" t="str">
        <x:v>Retrospective record does not establish exact first public-release day.</x:v>
      </x:c>
      <x:c r="G17" s="9" t="str">
        <x:v>https://step-gtp.org/step-accomplishments/</x:v>
      </x:c>
    </x:row>
    <x:row r="18" ht="68" customHeight="1">
      <x:c r="A18" s="10" t="str">
        <x:v>MRPL49</x:v>
      </x:c>
      <x:c r="B18" s="12" t="str">
        <x:v>2022</x:v>
      </x:c>
      <x:c r="C18" s="9" t="str">
        <x:v>year</x:v>
      </x:c>
      <x:c r="D18" s="9" t="str">
        <x:v>Thesis award metadata</x:v>
      </x:c>
      <x:c r="E18" s="9" t="str">
        <x:v>University thesis record names MRPL49 as a potential Perrault association and has a 2022 award year.</x:v>
      </x:c>
      <x:c r="F18" s="9" t="str">
        <x:v>Award year is not public deposit. Thesis PDF abstract states submission January 2023. Keep the frozen broad interval and do not treat 2022-01-01 as a verified publication day.</x:v>
      </x:c>
      <x:c r="G18" s="9" t="str">
        <x:v>https://research.manchester.ac.uk/en/studentTheses/characterising-the-genetic-basis-of-perrault-syndrome/</x:v>
      </x:c>
    </x:row>
    <x:row r="19" ht="64" customHeight="1">
      <x:c r="A19" s="10" t="str">
        <x:v>MRPL49</x:v>
      </x:c>
      <x:c r="B19" s="12" t="str">
        <x:v>2023-01</x:v>
      </x:c>
      <x:c r="C19" s="9" t="str">
        <x:v>month</x:v>
      </x:c>
      <x:c r="D19" s="9" t="str">
        <x:v>Thesis submission</x:v>
      </x:c>
      <x:c r="E19" s="9" t="str">
        <x:v>Primary thesis PDF abstract p.17 explicitly states month and year of submission January 2023 and names the potential MRPL49 association.</x:v>
      </x:c>
      <x:c r="F19" s="9" t="str">
        <x:v>A thesis submission date does not establish when it became publicly accessible. No new exact public deposit date verified.</x:v>
      </x:c>
      <x:c r="G19" s="9" t="str">
        <x:v>https://pure.manchester.ac.uk/ws/portalfiles/portal/250504355/FULL_TEXT.PDF</x:v>
      </x:c>
    </x:row>
    <x:row r="20" ht="64" customHeight="1">
      <x:c r="A20" s="10" t="str">
        <x:v>ATP11A</x:v>
      </x:c>
      <x:c r="B20" s="12" t="str">
        <x:v>2021</x:v>
      </x:c>
      <x:c r="C20" s="9" t="str">
        <x:v>year</x:v>
      </x:c>
      <x:c r="D20" s="9" t="str">
        <x:v>Earlier thesis lead</x:v>
      </x:c>
      <x:c r="E20" s="9" t="str">
        <x:v>University repository record names an ATP11A auditory phenotype thesis in 2021.</x:v>
      </x:c>
      <x:c r="F20" s="9" t="str">
        <x:v>Exact public date relative to the May preprint not resolved in this audit. Do not certify an exhaustive first-disclosure day.</x:v>
      </x:c>
      <x:c r="G20" s="9" t="str">
        <x:v>https://ediss.sub.uni-hamburg.de/handle/ediss/9309</x:v>
      </x:c>
    </x:row>
    <x:row r="21">
      <x:c r="A21" s="2"/>
      <x:c r="B21" s="2"/>
      <x:c r="C21" s="2"/>
      <x:c r="D21" s="2"/>
      <x:c r="E21" s="2"/>
      <x:c r="F21" s="2"/>
      <x:c r="G21" s="2"/>
    </x:row>
  </x:sheetData>
  <x:pageMargins left="0.7" right="0.7" top="0.75" bottom="0.75" header="0.3" footer="0.3"/>
  <x:tableParts count="1">
    <x:tablePart xmlns:r="http://schemas.openxmlformats.org/officeDocument/2006/relationships" r:id="R95b95e3d61824dda"/>
  </x:tableParts>
</x:worksheet>
</file>

<file path=xl/worksheets/sheet4.xml><?xml version="1.0" encoding="utf-8"?>
<x:worksheet xmlns:x="http://schemas.openxmlformats.org/spreadsheetml/2006/main">
  <x:sheetPr>
    <x:tabColor rgb="FF607D8B"/>
  </x:sheetPr>
  <x:sheetViews>
    <x:sheetView showGridLines="0" workbookViewId="0">
      <x:pane ySplit="4" topLeftCell="A5" activePane="bottomLeft" state="frozen"/>
    </x:sheetView>
  </x:sheetViews>
  <x:sheetFormatPr defaultRowHeight="15"/>
  <x:cols>
    <x:col min="1" max="1" width="36" hidden="0" customWidth="1"/>
    <x:col min="2" max="2" width="121" hidden="0" customWidth="1"/>
  </x:cols>
  <x:sheetData>
    <x:row r="1">
      <x:c r="A1" s="2"/>
      <x:c r="B1" s="2"/>
    </x:row>
    <x:row r="2" ht="30" customHeight="1">
      <x:c r="A2" s="3" t="str">
        <x:v>What each date means</x:v>
      </x:c>
      <x:c r="B2" s="2"/>
    </x:row>
    <x:row r="3">
      <x:c r="A3" s="2"/>
      <x:c r="B3" s="2"/>
    </x:row>
    <x:row r="4" ht="32" customHeight="1">
      <x:c r="A4" s="8" t="str">
        <x:v>Field / rule</x:v>
      </x:c>
      <x:c r="B4" s="8" t="str">
        <x:v>Definition and practical use</x:v>
      </x:c>
    </x:row>
    <x:row r="5" ht="68" customHeight="1">
      <x:c r="A5" s="9" t="str">
        <x:v>First PUBLIC target association</x:v>
      </x:c>
      <x:c r="B5" s="9" t="str">
        <x:v>Earliest located public proposal of the human retinal/optic, hearing or explicitly supported ciliary disease association. It may be a preprint, public in-press preview or meeting abstract before the final journal paper. It is distinct from the date when the clinical evidence became strong enough for eligibility.</x:v>
      </x:c>
    </x:row>
    <x:row r="6" ht="50" customHeight="1">
      <x:c r="A6" s="9" t="str">
        <x:v>Received / submitted</x:v>
      </x:c>
      <x:c r="B6" s="9" t="str">
        <x:v>The journal received the manuscript. This is editorial history. It is not evidence that readers could access the paper that day.</x:v>
      </x:c>
    </x:row>
    <x:row r="7" ht="50" customHeight="1">
      <x:c r="A7" s="9" t="str">
        <x:v>Revised / accepted</x:v>
      </x:c>
      <x:c r="B7" s="9" t="str">
        <x:v>Internal editorial milestones. An accepted manuscript can later be released publicly, but the acceptance decision itself does not establish public availability.</x:v>
      </x:c>
    </x:row>
    <x:row r="8" ht="50" customHeight="1">
      <x:c r="A8" s="9" t="str">
        <x:v>First public journal-hosted version</x:v>
      </x:c>
      <x:c r="B8" s="9" t="str">
        <x:v>Earliest located public version hosted by the journal. DNAJC30/CTNND1 have in-press previews. PLCG1 has a reviewed preprint before the Version of Record. This column is separate from any earlier external preprint.</x:v>
      </x:c>
    </x:row>
    <x:row r="9" ht="50" customHeight="1">
      <x:c r="A9" s="9" t="str">
        <x:v>Version of Record</x:v>
      </x:c>
      <x:c r="B9" s="9" t="str">
        <x:v>The final journal version. Filled separately only when the checked source explicitly distinguishes it from an earlier public version. A blank here does not mean there is no final article.</x:v>
      </x:c>
    </x:row>
    <x:row r="10" ht="68" customHeight="1">
      <x:c r="A10" s="9" t="str">
        <x:v>Online / advance access / epub</x:v>
      </x:c>
      <x:c r="B10" s="9" t="str">
        <x:v>Public online article release. It often precedes the issue date. For PDIA6, publisher first-public January 26 and PubMed Electronic February 17 are both retained. The discrepancy is not silently relabelled as a known version transition.</x:v>
      </x:c>
    </x:row>
    <x:row r="11" ht="50" customHeight="1">
      <x:c r="A11" s="9" t="str">
        <x:v>Issue date</x:v>
      </x:c>
      <x:c r="B11" s="9" t="str">
        <x:v>The journal volume/issue date. It can be months or a year later than first online. TMEM72 was online in 2025 and appears in the April 2026 issue.</x:v>
      </x:c>
    </x:row>
    <x:row r="12" ht="50" customHeight="1">
      <x:c r="A12" s="9" t="str">
        <x:v>Preprint date and DOI</x:v>
      </x:c>
      <x:c r="B12" s="9" t="str">
        <x:v>Use the posting date for that version, not the date embedded in the DOI. GPATCH11 DOI August 19 was posted August 21. PKHD1L1 DOI October 8 was posted October 9. Later revisions do not replace the first posting day.</x:v>
      </x:c>
    </x:row>
    <x:row r="13" ht="50" customHeight="1">
      <x:c r="A13" s="9" t="str">
        <x:v>Conference / thesis dates</x:v>
      </x:c>
      <x:c r="B13" s="9" t="str">
        <x:v>A programme or retrospective report can document an earlier proposal without resolving the exact first public-release date. Thesis award year and submission are not public-deposit dates. Keep source precision and uncertainty.</x:v>
      </x:c>
    </x:row>
    <x:row r="14" ht="50" customHeight="1">
      <x:c r="A14" s="9" t="str">
        <x:v>Proposed date left blank</x:v>
      </x:c>
      <x:c r="B14" s="9" t="str">
        <x:v>ATP11A, CREB3, MRPL49 and TMEM72 retain first-day uncertainty. The dated public event in G can be securely located without proving it was the first disclosure. Read the original frozen interval and explanation.</x:v>
      </x:c>
    </x:row>
    <x:row r="15" ht="50" customHeight="1">
      <x:c r="A15" s="9" t="str">
        <x:v>Original frozen interval</x:v>
      </x:c>
      <x:c r="B15" s="9" t="str">
        <x:v>Historical uncertainty bound from the frozen study. Displaying its lower bound as a date in the old Excel did not make that day independently verified. These intervals are preserved here, not silently narrowed or replaced.</x:v>
      </x:c>
    </x:row>
    <x:row r="16" ht="68" customHeight="1">
      <x:c r="A16" s="9" t="str">
        <x:v>Target vs non-target disease</x:v>
      </x:c>
      <x:c r="B16" s="9" t="str">
        <x:v>VWA8 2021 concerns an earlier neurodevelopmental association; its retinal target report was in 2023. STX3 has an earlier intestinal association. PLCG1 has a 2023 immune report and later sensory reports. Do not substitute the first disease of any kind for the first target association.</x:v>
      </x:c>
    </x:row>
    <x:row r="17" ht="68" customHeight="1">
      <x:c r="A17" s="9" t="str">
        <x:v>Scope and missing data</x:v>
      </x:c>
      <x:c r="B17" s="9" t="str">
        <x:v>All 46 supplied PDFs were text-inspected and mapped to 43 distinct PMID records. PubMed/Europe PMC metadata were freshly acquired for all 43. Source-specific exceptions and seven preprint records were checked. KCNJ16 is a two-page extract. Blank editorial dates mean not recorded in checked sources.</x:v>
      </x:c>
    </x:row>
    <x:row r="18" ht="68" customHeight="1">
      <x:c r="A18" s="9" t="str">
        <x:v>What this audit establishes</x:v>
      </x:c>
      <x:c r="B18" s="9" t="str">
        <x:v>It resolves publication-stage differences and identifies unsupported entries. It does not prove that no earlier report exists anywhere or re-adjudicate all clinical families. Fifteen event rows are source chronology, not fifteen independent replications.</x:v>
      </x:c>
    </x:row>
    <x:row r="19" ht="68" customHeight="1">
      <x:c r="A19" s="9" t="str">
        <x:v>Cutoff and result impact</x:v>
      </x:c>
      <x:c r="B19" s="9" t="str">
        <x:v>Historical cutoff: 2020-12-31. No newly confirmed pre-cutoff public target association was found in this bounded date audit. Receipt/acceptance before 2021 alone does not change eligibility. No frozen cohort label, score or recovery result was changed.</x:v>
      </x:c>
    </x:row>
    <x:row r="20" ht="50" customHeight="1">
      <x:c r="A20" s="9" t="str">
        <x:v>Author decisions</x:v>
      </x:c>
      <x:c r="B20" s="9" t="str">
        <x:v>All 45 eligibility fields remain PENDING as returned. Their existing date statuses are preserved. This workbook supplies bibliographic suggestions, not inferred human inclusion approval.</x:v>
      </x:c>
    </x:row>
    <x:row r="21" ht="68" customHeight="1">
      <x:c r="A21" s="9" t="str">
        <x:v>Sources and reproduction</x:v>
      </x:c>
      <x:c r="B21" s="9" t="str">
        <x:v>Publication URLs and source locations sit beside the source records in Article dates and Earlier events. The original workbook, ZIP and frozen data remain intact. Source evidence and hash records were archived with the repository audit.</x:v>
      </x:c>
    </x:row>
    <x:row r="22">
      <x:c r="A22" s="2"/>
      <x:c r="B22" s="2"/>
    </x:row>
    <x:row r="23">
      <x:c r="A23" s="2"/>
      <x:c r="B23" s="2"/>
    </x:row>
    <x:row r="24">
      <x:c r="A24" s="2"/>
      <x:c r="B24" s="2"/>
    </x:row>
    <x:row r="25">
      <x:c r="A25" s="2"/>
      <x:c r="B25" s="2"/>
    </x:row>
  </x:sheetData>
  <x:pageMargins left="0.7" right="0.7" top="0.75" bottom="0.75" header="0.3" footer="0.3"/>
</x:worksheet>
</file>