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bdbe045959f4da0" /></Relationships>
</file>

<file path=xl/workbook.xml><?xml version="1.0" encoding="utf-8"?>
<x:workbook xmlns:x="http://schemas.openxmlformats.org/spreadsheetml/2006/main">
  <x:sheets>
    <x:sheet xmlns:r="http://schemas.openxmlformats.org/officeDocument/2006/relationships" name="Confirmations" sheetId="1" r:id="R6a1fc75fc50f47ca"/>
    <x:sheet xmlns:r="http://schemas.openxmlformats.org/officeDocument/2006/relationships" name="Author return" sheetId="2" r:id="Rd52be5b627c44929"/>
    <x:sheet xmlns:r="http://schemas.openxmlformats.org/officeDocument/2006/relationships" name="Guide" sheetId="3" r:id="R9017defa5647434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5">
    <x:font>
      <x:sz val="11"/>
      <x:name val="Carlito"/>
    </x:font>
    <x:font>
      <x:sz val="11"/>
      <x:color rgb="FF24364B"/>
      <x:name val="Arial"/>
    </x:font>
    <x:font>
      <x:b/>
      <x:sz val="16"/>
      <x:color rgb="FF24364B"/>
      <x:name val="Arial"/>
    </x:font>
    <x:font>
      <x:b/>
      <x:sz val="11"/>
      <x:color rgb="FFFFFFFF"/>
      <x:name val="Arial"/>
    </x:font>
    <x:font>
      <x:b/>
      <x:sz val="11"/>
      <x:color rgb="FF24364B"/>
      <x:name val="Arial"/>
    </x:font>
  </x:fonts>
  <x:fills count="4">
    <x:fill>
      <x:patternFill patternType="none"/>
    </x:fill>
    <x:fill>
      <x:patternFill patternType="gray125"/>
    </x:fill>
    <x:fill>
      <x:patternFill patternType="solid">
        <x:fgColor rgb="FF294C72"/>
      </x:patternFill>
    </x:fill>
    <x:fill>
      <x:patternFill patternType="solid">
        <x:fgColor rgb="FFFFF2CC"/>
      </x:patternFill>
    </x:fill>
  </x:fills>
  <x:borders count="1">
    <x:border>
      <x:left/>
      <x:right/>
      <x:top/>
      <x:bottom/>
      <x:diagonal/>
    </x:border>
  </x:borders>
  <x:cellStyleXfs count="1">
    <x:xf numFmtId="0" fontId="0" fillId="0" borderId="0"/>
  </x:cellStyleXfs>
  <x:cellXfs count="1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1" fillId="0" borderId="0" xfId="0" applyNumberFormat="1" applyFont="1" applyFill="1" applyBorder="1" applyAlignment="1">
      <x:alignment horizontal="left" vertical="top"/>
    </x:xf>
    <x:xf numFmtId="0" fontId="1" fillId="2" borderId="0" xfId="0" applyNumberFormat="1" applyFont="1" applyFill="1" applyBorder="1" applyAlignment="1">
      <x:alignment vertical="top"/>
    </x:xf>
    <x:xf numFmtId="0" fontId="3" fillId="2" borderId="0" xfId="0" applyNumberFormat="1" applyFont="1" applyFill="1" applyBorder="1" applyAlignment="1">
      <x:alignment vertical="top"/>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cellXfs>
  <x:cellStyles count="1">
    <x:cellStyle name="Normal" xfId="0"/>
  </x:cellStyles>
  <x:dxfs count="1">
    <x:dxf>
      <x:font>
        <x:b/>
        <x:color rgb="FF9C35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a3565bee5434b09" /><Relationship Type="http://schemas.openxmlformats.org/officeDocument/2006/relationships/theme" Target="/xl/theme/theme1.xml" Id="R97758e3a0b134e9e" /><Relationship Type="http://schemas.openxmlformats.org/officeDocument/2006/relationships/sharedStrings" Target="/xl/sharedStrings.xml" Id="R8e0e07b69d45423b" /><Relationship Type="http://schemas.openxmlformats.org/officeDocument/2006/relationships/worksheet" Target="/xl/worksheets/sheet1.xml" Id="R6a1fc75fc50f47ca" /><Relationship Type="http://schemas.openxmlformats.org/officeDocument/2006/relationships/worksheet" Target="/xl/worksheets/sheet2.xml" Id="Rd52be5b627c44929" /><Relationship Type="http://schemas.openxmlformats.org/officeDocument/2006/relationships/worksheet" Target="/xl/worksheets/sheet3.xml" Id="R9017defa56474343" /></Relationships>
</file>

<file path=xl/tables/table1.xml><?xml version="1.0" encoding="utf-8"?>
<x:table xmlns:x="http://schemas.openxmlformats.org/spreadsheetml/2006/main" id="1" name="AuthorConfirmations" displayName="AuthorConfirmations" ref="A8:N53" headerRowCount="1" totalsRowCount="0" totalsRowShown="0">
  <x:tableColumns count="14">
    <x:tableColumn id="1" name="Gene (frozen name retained)"/>
    <x:tableColumn id="2" name="Question for the author"/>
    <x:tableColumn id="3" name="Final author decision: use this gene as a later-discovered target-disease test case?"/>
    <x:tableColumn id="4" name="Author-confirmed FIRST PUBLIC target-association date"/>
    <x:tableColumn id="5" name="Author reply, supporting PMID and page/table/figure"/>
    <x:tableColumn id="6" name="Author confirming this decision"/>
    <x:tableColumn id="7" name="Date this confirmation was performed"/>
    <x:tableColumn id="8" name="Source check / proposed interpretation (AI-assisted)"/>
    <x:tableColumn id="9" name="Stable HGNC gene key"/>
    <x:tableColumn id="10" name="Date entered in the returned workbook (preserved)"/>
    <x:tableColumn id="11" name="Date decision entered in the returned workbook (preserved)"/>
    <x:tableColumn id="12" name="Earlier frozen AI timing and interval (provisional)"/>
    <x:tableColumn id="13" name="Additional frozen clinical PMIDs NOT supplied in Refs.zip"/>
    <x:tableColumn id="14" name="Suggested date interpretation (AI-assisted; not final)"/>
  </x:tableColumns>
  <x:tableStyleInfo name="TableStyleMedium2" showFirstColumn="0" showLastColumn="0" showRowStripes="1" showColumnStripes="0"/>
</x:table>
</file>

<file path=xl/tables/table2.xml><?xml version="1.0" encoding="utf-8"?>
<x:table xmlns:x="http://schemas.openxmlformats.org/spreadsheetml/2006/main" id="2" name="ReturnedAuthorObservations" displayName="ReturnedAuthorObservations" ref="A1:K46" headerRowCount="1" totalsRowCount="0" totalsRowShown="0">
  <x:tableColumns count="11">
    <x:tableColumn id="1" name="Gene symbol as returned"/>
    <x:tableColumn id="2" name="Stable HGNC gene key"/>
    <x:tableColumn id="3" name="Eligibility decision as returned"/>
    <x:tableColumn id="4" name="Date decision as returned"/>
    <x:tableColumn id="5" name="Reviewer as returned"/>
    <x:tableColumn id="6" name="Review date as returned"/>
    <x:tableColumn id="7" name="Association-date entry as returned"/>
    <x:tableColumn id="8" name="Notes as returned"/>
    <x:tableColumn id="9" name="Genotype / inheritance notes as returned"/>
    <x:tableColumn id="10" name="AI date displayed in original workbook"/>
    <x:tableColumn id="11" name="AI novelty category displayed in original workbook"/>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f767f3c401f404f" /></Relationships>
</file>

<file path=xl/worksheets/_rels/sheet2.xml.rels>&#65279;<?xml version="1.0" encoding="utf-8"?><Relationships xmlns="http://schemas.openxmlformats.org/package/2006/relationships"><Relationship Type="http://schemas.openxmlformats.org/officeDocument/2006/relationships/table" Target="/xl/tables/table2.xml" Id="R915cf900e7f54675" /></Relationships>
</file>

<file path=xl/worksheets/sheet1.xml><?xml version="1.0" encoding="utf-8"?>
<x:worksheet xmlns:x="http://schemas.openxmlformats.org/spreadsheetml/2006/main">
  <x:sheetPr>
    <x:tabColor rgb="FF294C72"/>
  </x:sheetPr>
  <x:sheetViews>
    <x:sheetView showGridLines="0" workbookViewId="0">
      <x:pane xSplit="1" ySplit="8" topLeftCell="B9" activePane="bottomRight" state="frozen"/>
    </x:sheetView>
  </x:sheetViews>
  <x:sheetFormatPr defaultRowHeight="15"/>
  <x:cols>
    <x:col min="1" max="1" width="22" hidden="0" customWidth="1"/>
    <x:col min="2" max="2" width="58" hidden="0" customWidth="1"/>
    <x:col min="3" max="3" width="28" hidden="0" customWidth="1"/>
    <x:col min="4" max="4" width="32" hidden="0" customWidth="1"/>
    <x:col min="5" max="5" width="58" hidden="0" customWidth="1"/>
    <x:col min="6" max="6" width="24" hidden="0" customWidth="1"/>
    <x:col min="7" max="7" width="23" hidden="0" customWidth="1"/>
    <x:col min="8" max="8" width="76" hidden="0" customWidth="1"/>
    <x:col min="9" max="9" width="20" hidden="0" customWidth="1"/>
    <x:col min="10" max="10" width="37" hidden="0" customWidth="1"/>
    <x:col min="11" max="11" width="24" hidden="0" customWidth="1"/>
    <x:col min="12" max="12" width="48" hidden="0" customWidth="1"/>
    <x:col min="13" max="13" width="34" hidden="0" customWidth="1"/>
    <x:col min="14" max="14" width="58" hidden="0" customWidth="1"/>
  </x:cols>
  <x:sheetData>
    <x:row r="1">
      <x:c r="A1" s="2"/>
      <x:c r="B1" s="2"/>
      <x:c r="C1" s="2"/>
      <x:c r="D1" s="2"/>
      <x:c r="E1" s="2"/>
      <x:c r="F1" s="2"/>
      <x:c r="G1" s="2"/>
      <x:c r="H1" s="2"/>
      <x:c r="I1" s="2"/>
      <x:c r="J1" s="2"/>
      <x:c r="K1" s="2"/>
      <x:c r="L1" s="2"/>
      <x:c r="M1" s="2"/>
      <x:c r="N1" s="2"/>
    </x:row>
    <x:row r="2" ht="30" customHeight="1">
      <x:c r="A2" s="3" t="str">
        <x:v>Author confirmation after literature review</x:v>
      </x:c>
      <x:c r="B2" s="2"/>
      <x:c r="C2" s="2"/>
      <x:c r="D2" s="2"/>
      <x:c r="E2" s="2"/>
      <x:c r="F2" s="2"/>
      <x:c r="G2" s="2"/>
      <x:c r="H2" s="2"/>
      <x:c r="I2" s="2"/>
      <x:c r="J2" s="2"/>
      <x:c r="K2" s="2"/>
      <x:c r="L2" s="2"/>
      <x:c r="M2" s="2"/>
      <x:c r="N2" s="2"/>
    </x:row>
    <x:row r="3">
      <x:c r="A3" s="2" t="str">
        <x:v>Read Guide, then answer each question in the yellow cells. Original author observations are preserved in Author return.</x:v>
      </x:c>
      <x:c r="B3" s="2"/>
      <x:c r="C3" s="2"/>
      <x:c r="D3" s="2"/>
      <x:c r="E3" s="2"/>
      <x:c r="F3" s="2"/>
      <x:c r="G3" s="2"/>
      <x:c r="H3" s="2"/>
      <x:c r="I3" s="2"/>
      <x:c r="J3" s="2"/>
      <x:c r="K3" s="2"/>
      <x:c r="L3" s="2"/>
      <x:c r="M3" s="2"/>
      <x:c r="N3" s="2"/>
    </x:row>
    <x:row r="4">
      <x:c r="A4" s="2" t="str">
        <x:v>Source checks are AI-assisted suggestions. PENDING is retained until an author explicitly decides.</x:v>
      </x:c>
      <x:c r="B4" s="2"/>
      <x:c r="C4" s="2"/>
      <x:c r="D4" s="2"/>
      <x:c r="E4" s="2"/>
      <x:c r="F4" s="2"/>
      <x:c r="G4" s="2"/>
      <x:c r="H4" s="2"/>
      <x:c r="I4" s="2"/>
      <x:c r="J4" s="2"/>
      <x:c r="K4" s="2"/>
      <x:c r="L4" s="2"/>
      <x:c r="M4" s="2"/>
      <x:c r="N4" s="2"/>
    </x:row>
    <x:row r="5">
      <x:c r="A5" s="2" t="str">
        <x:v>Eligibility pending</x:v>
      </x:c>
      <x:c r="B5" s="4" t="n">
        <x:f>COUNTIFS(C9:C53,"PENDING")</x:f>
        <x:v>45</x:v>
      </x:c>
      <x:c r="C5" s="2"/>
      <x:c r="D5" s="2" t="str">
        <x:v>A lower pending count is not certification that every date and evidence question is resolved.</x:v>
      </x:c>
      <x:c r="E5" s="2"/>
      <x:c r="F5" s="2"/>
      <x:c r="G5" s="2"/>
      <x:c r="H5" s="2"/>
      <x:c r="I5" s="2"/>
      <x:c r="J5" s="2"/>
      <x:c r="K5" s="2"/>
      <x:c r="L5" s="2"/>
      <x:c r="M5" s="2"/>
      <x:c r="N5" s="2"/>
    </x:row>
    <x:row r="6">
      <x:c r="A6" s="2" t="str">
        <x:v>An uncertain exact date can stay blank. Record the interval and reason in the reply. Original frozen results are unchanged.</x:v>
      </x:c>
      <x:c r="B6" s="2"/>
      <x:c r="C6" s="2"/>
      <x:c r="D6" s="2"/>
      <x:c r="E6" s="2"/>
      <x:c r="F6" s="2"/>
      <x:c r="G6" s="2"/>
      <x:c r="H6" s="2"/>
      <x:c r="I6" s="2"/>
      <x:c r="J6" s="2"/>
      <x:c r="K6" s="2"/>
      <x:c r="L6" s="2"/>
      <x:c r="M6" s="2"/>
      <x:c r="N6" s="2"/>
    </x:row>
    <x:row r="7">
      <x:c r="A7" s="2"/>
      <x:c r="B7" s="2"/>
      <x:c r="C7" s="2"/>
      <x:c r="D7" s="2"/>
      <x:c r="E7" s="2"/>
      <x:c r="F7" s="2"/>
      <x:c r="G7" s="2"/>
      <x:c r="H7" s="2"/>
      <x:c r="I7" s="2"/>
      <x:c r="J7" s="2"/>
      <x:c r="K7" s="2"/>
      <x:c r="L7" s="2"/>
      <x:c r="M7" s="2"/>
      <x:c r="N7" s="2"/>
    </x:row>
    <x:row r="8" ht="100" customHeight="1">
      <x:c r="A8" s="9" t="str">
        <x:v>Gene (frozen name retained)</x:v>
      </x:c>
      <x:c r="B8" s="9" t="str">
        <x:v>Question for the author</x:v>
      </x:c>
      <x:c r="C8" s="9" t="str">
        <x:v>Final author decision: use this gene as a later-discovered target-disease test case?</x:v>
      </x:c>
      <x:c r="D8" s="9" t="str">
        <x:v>Author-confirmed FIRST PUBLIC target-association date</x:v>
      </x:c>
      <x:c r="E8" s="9" t="str">
        <x:v>Author reply, supporting PMID and page/table/figure</x:v>
      </x:c>
      <x:c r="F8" s="9" t="str">
        <x:v>Author confirming this decision</x:v>
      </x:c>
      <x:c r="G8" s="9" t="str">
        <x:v>Date this confirmation was performed</x:v>
      </x:c>
      <x:c r="H8" s="9" t="str">
        <x:v>Source check / proposed interpretation (AI-assisted)</x:v>
      </x:c>
      <x:c r="I8" s="9" t="str">
        <x:v>Stable HGNC gene key</x:v>
      </x:c>
      <x:c r="J8" s="9" t="str">
        <x:v>Date entered in the returned workbook (preserved)</x:v>
      </x:c>
      <x:c r="K8" s="9" t="str">
        <x:v>Date decision entered in the returned workbook (preserved)</x:v>
      </x:c>
      <x:c r="L8" s="9" t="str">
        <x:v>Earlier frozen AI timing and interval (provisional)</x:v>
      </x:c>
      <x:c r="M8" s="9" t="str">
        <x:v>Additional frozen clinical PMIDs NOT supplied in Refs.zip</x:v>
      </x:c>
      <x:c r="N8" s="9" t="str">
        <x:v>Suggested date interpretation (AI-assisted; not final)</x:v>
      </x:c>
    </x:row>
    <x:row r="9" ht="116" customHeight="1">
      <x:c r="A9" s="12" t="str">
        <x:v>AP5B1</x:v>
      </x:c>
      <x:c r="B9" s="10" t="str">
        <x:v>Case evidence and date: Confirm the independent replication/functional route as well as the two AP5B1 families. Should the first-public date be 2025-03-12 rather than 2025-04-03? The returned date decision says CONFIRMED despite different dates.</x:v>
      </x:c>
      <x:c r="C9" s="11" t="str">
        <x:v>PENDING</x:v>
      </x:c>
      <x:c r="D9" s="14"/>
      <x:c r="E9" s="11"/>
      <x:c r="F9" s="11"/>
      <x:c r="G9" s="14"/>
      <x:c r="H9" s="10" t="str">
        <x:v>Supplied PMID 40081374, PDF p.18, lists publication on 2025-03-12; the cover/issue date is 2025-04-03. The frozen evidence also nominated independent reports 41830174 and 42568187, not attached here. Healthy RPE localization alone does not satisfy the functional route.</x:v>
      </x:c>
      <x:c r="I9" s="10" t="str">
        <x:v>HGNC:25104</x:v>
      </x:c>
      <x:c r="J9" s="13" t="d">
        <x:v>2025-04-03T00:00:00.000Z</x:v>
      </x:c>
      <x:c r="K9" s="10" t="str">
        <x:v>CONFIRMED</x:v>
      </x:c>
      <x:c r="L9" s="10" t="str">
        <x:v>2025-03-12; interval 2025-01-01 to 2025-03-12</x:v>
      </x:c>
      <x:c r="M9" s="10" t="str">
        <x:v>41830174; 42568187</x:v>
      </x:c>
      <x:c r="N9" s="10" t="str">
        <x:v>2025-03-12 (publication history in supplied PDF); author confirmation pending</x:v>
      </x:c>
    </x:row>
    <x:row r="10" ht="116" customHeight="1">
      <x:c r="A10" s="12" t="str">
        <x:v>ATP11A</x:v>
      </x:c>
      <x:c r="B10" s="10" t="str">
        <x:v>Case evidence and date: Check the gene-confirmed unrelated-family count separately from the older DFNA33 linkage family. Confirm whether the earlier preprint supports the target association before the 2022 journal article.</x:v>
      </x:c>
      <x:c r="C10" s="11" t="str">
        <x:v>PENDING</x:v>
      </x:c>
      <x:c r="D10" s="14"/>
      <x:c r="E10" s="11"/>
      <x:c r="F10" s="11"/>
      <x:c r="G10" s="14"/>
      <x:c r="H10" s="10" t="str">
        <x:v>Supplied PMID 35278131 p.1 describes one Newfoundland and two Israeli families; the earlier German DFNA33 linkage family is a separate issue from demonstrated ATP11A variants. Its journal-online date is 2022-03-12. The frozen screening nominated preprint PPR349560 dated 2021-05-28 and another clinical report 36300302; these are not in Refs.zip.</x:v>
      </x:c>
      <x:c r="I10" s="10" t="str">
        <x:v>HGNC:13552</x:v>
      </x:c>
      <x:c r="J10" s="13" t="d">
        <x:v>2022-03-12T00:00:00.000Z</x:v>
      </x:c>
      <x:c r="K10" s="10" t="str">
        <x:v>REVISED</x:v>
      </x:c>
      <x:c r="L10" s="10" t="str">
        <x:v>2021-05-28; interval 2021-01-01 to 2021-05-28</x:v>
      </x:c>
      <x:c r="M10" s="10" t="str">
        <x:v>36300302</x:v>
      </x:c>
      <x:c r="N10" s="10" t="str">
        <x:v>2021-05-28 frozen preprint candidate vs 2022-03-12 journal date; earliest-source verification pending</x:v>
      </x:c>
    </x:row>
    <x:row r="11" ht="116" customHeight="1">
      <x:c r="A11" s="12" t="str">
        <x:v>BRWD1</x:v>
      </x:c>
      <x:c r="B11" s="10" t="str">
        <x:v>Inheritance correction: Please confirm AR rather than AD in the returned genotype note, and retain the respiratory PCD/PCD-like phenotype alongside infertility when deciding target eligibility.</x:v>
      </x:c>
      <x:c r="C11" s="11" t="str">
        <x:v>PENDING</x:v>
      </x:c>
      <x:c r="D11" s="14"/>
      <x:c r="E11" s="11"/>
      <x:c r="F11" s="11"/>
      <x:c r="G11" s="14"/>
      <x:c r="H11" s="10" t="str">
        <x:v>Supplied PMID 33389130, PDF p.1 abstract, explicitly describes biallelic variants and autosomal recessive inheritance in three unrelated individuals with MMAF and PCD/PCD-like symptoms. The returned note says AD and lists infertility only. The 2021-01-03 online date agrees.</x:v>
      </x:c>
      <x:c r="I11" s="10" t="str">
        <x:v>HGNC:12760</x:v>
      </x:c>
      <x:c r="J11" s="13" t="d">
        <x:v>2021-01-03T00:00:00.000Z</x:v>
      </x:c>
      <x:c r="K11" s="10" t="str">
        <x:v>CONFIRMED</x:v>
      </x:c>
      <x:c r="L11" s="10" t="str">
        <x:v>2021-01-03; interval 2021-01-01 to 2021-01-03</x:v>
      </x:c>
      <x:c r="M11" s="10" t="str">
        <x:v>None nominated beyond the supplied PDFs</x:v>
      </x:c>
      <x:c r="N11" s="10" t="str">
        <x:v>2021-01-03; no numeric date mismatch detected</x:v>
      </x:c>
    </x:row>
    <x:row r="12" ht="116" customHeight="1">
      <x:c r="A12" s="12" t="str">
        <x:v>C19orf44</x:v>
      </x:c>
      <x:c r="B12" s="10" t="str">
        <x:v>Case evidence: Confirm the qualifying functional or independent-new-family replication route, in addition to the 11 original retinal families.</x:v>
      </x:c>
      <x:c r="C12" s="11" t="str">
        <x:v>PENDING</x:v>
      </x:c>
      <x:c r="D12" s="14"/>
      <x:c r="E12" s="11"/>
      <x:c r="F12" s="11"/>
      <x:c r="G12" s="14"/>
      <x:c r="H12" s="10" t="str">
        <x:v>The returned notes cover the original PMID 40079362. The frozen screening cited 40744518 as an independent new-family replication; that report is not attached. Original expression/localization observations must not alone be counted as functional validation.</x:v>
      </x:c>
      <x:c r="I12" s="10" t="str">
        <x:v>HGNC:26141</x:v>
      </x:c>
      <x:c r="J12" s="13" t="d">
        <x:v>2025-03-10T00:00:00.000Z</x:v>
      </x:c>
      <x:c r="K12" s="10" t="str">
        <x:v>CONFIRMED</x:v>
      </x:c>
      <x:c r="L12" s="10" t="str">
        <x:v>2025-03-10; interval 2025-01-01 to 2025-03-10</x:v>
      </x:c>
      <x:c r="M12" s="10" t="str">
        <x:v>40744518</x:v>
      </x:c>
      <x:c r="N12" s="10" t="str">
        <x:v>2025-03-10; no numeric date mismatch detected</x:v>
      </x:c>
    </x:row>
    <x:row r="13" ht="116" customHeight="1">
      <x:c r="A13" s="12" t="str">
        <x:v>CEP76</x:v>
      </x:c>
      <x:c r="B13" s="10" t="str">
        <x:v>Please explicitly decide whether the gene meets the target phenotype, unrelated-family, inheritance, functional/replication and post-cutoff rules. The returned eligibility cell is still PENDING.</x:v>
      </x:c>
      <x:c r="C13" s="11" t="str">
        <x:v>PENDING</x:v>
      </x:c>
      <x:c r="D13" s="14"/>
      <x:c r="E13" s="11"/>
      <x:c r="F13" s="11"/>
      <x:c r="G13" s="14"/>
      <x:c r="H13" s="10" t="str">
        <x:v>No additional targeted discrepancy was identified during this limited intake audit. This is not a certification that clinical eligibility or earliest-public timing has been fully independently verified.</x:v>
      </x:c>
      <x:c r="I13" s="10" t="str">
        <x:v>HGNC:25727</x:v>
      </x:c>
      <x:c r="J13" s="13" t="d">
        <x:v>2025-10-17T00:00:00.000Z</x:v>
      </x:c>
      <x:c r="K13" s="10" t="str">
        <x:v>CONFIRMED</x:v>
      </x:c>
      <x:c r="L13" s="10" t="str">
        <x:v>2025-10-17; interval 2025-01-01 to 2025-10-17</x:v>
      </x:c>
      <x:c r="M13" s="10" t="str">
        <x:v>None nominated beyond the supplied PDFs</x:v>
      </x:c>
      <x:c r="N13" s="10" t="str">
        <x:v>2025-10-17</x:v>
      </x:c>
    </x:row>
    <x:row r="14" ht="116" customHeight="1">
      <x:c r="A14" s="12" t="str">
        <x:v>CFAP54</x:v>
      </x:c>
      <x:c r="B14" s="10" t="str">
        <x:v>Please explicitly decide whether the gene meets the target phenotype, unrelated-family, inheritance, functional/replication and post-cutoff rules. The returned eligibility cell is still PENDING.</x:v>
      </x:c>
      <x:c r="C14" s="11" t="str">
        <x:v>PENDING</x:v>
      </x:c>
      <x:c r="D14" s="14"/>
      <x:c r="E14" s="11"/>
      <x:c r="F14" s="11"/>
      <x:c r="G14" s="14"/>
      <x:c r="H14" s="10" t="str">
        <x:v>No additional targeted discrepancy was identified during this limited intake audit. This is not a certification that clinical eligibility or earliest-public timing has been fully independently verified.</x:v>
      </x:c>
      <x:c r="I14" s="10" t="str">
        <x:v>HGNC:26456</x:v>
      </x:c>
      <x:c r="J14" s="13" t="d">
        <x:v>2023-09-19T00:00:00.000Z</x:v>
      </x:c>
      <x:c r="K14" s="10" t="str">
        <x:v>CONFIRMED</x:v>
      </x:c>
      <x:c r="L14" s="10" t="str">
        <x:v>2023-09-19; interval 2023-01-01 to 2023-09-19</x:v>
      </x:c>
      <x:c r="M14" s="10" t="str">
        <x:v>39362668</x:v>
      </x:c>
      <x:c r="N14" s="10" t="str">
        <x:v>2023-09-19</x:v>
      </x:c>
    </x:row>
    <x:row r="15" ht="116" customHeight="1">
      <x:c r="A15" s="12" t="str">
        <x:v>CLEC3B</x:v>
      </x:c>
      <x:c r="B15" s="10" t="str">
        <x:v>Please explicitly decide whether the gene meets the target phenotype, unrelated-family, inheritance, functional/replication and post-cutoff rules. The returned eligibility cell is still PENDING.</x:v>
      </x:c>
      <x:c r="C15" s="11" t="str">
        <x:v>PENDING</x:v>
      </x:c>
      <x:c r="D15" s="14"/>
      <x:c r="E15" s="11"/>
      <x:c r="F15" s="11"/>
      <x:c r="G15" s="14"/>
      <x:c r="H15" s="10" t="str">
        <x:v>No additional targeted discrepancy was identified during this limited intake audit. This is not a certification that clinical eligibility or earliest-public timing has been fully independently verified.</x:v>
      </x:c>
      <x:c r="I15" s="10" t="str">
        <x:v>HGNC:11891</x:v>
      </x:c>
      <x:c r="J15" s="13" t="d">
        <x:v>2022-03-22T00:00:00.000Z</x:v>
      </x:c>
      <x:c r="K15" s="10" t="str">
        <x:v>CONFIRMED</x:v>
      </x:c>
      <x:c r="L15" s="10" t="str">
        <x:v>2022-03-22; interval 2022-01-01 to 2022-03-22</x:v>
      </x:c>
      <x:c r="M15" s="10" t="str">
        <x:v>None nominated beyond the supplied PDFs</x:v>
      </x:c>
      <x:c r="N15" s="10" t="str">
        <x:v>2022-03-22</x:v>
      </x:c>
    </x:row>
    <x:row r="16" ht="116" customHeight="1">
      <x:c r="A16" s="12" t="str">
        <x:v>COQ5</x:v>
      </x:c>
      <x:c r="B16" s="10" t="str">
        <x:v>Please explicitly decide whether the gene meets the target phenotype, unrelated-family, inheritance, functional/replication and post-cutoff rules. The returned eligibility cell is still PENDING.</x:v>
      </x:c>
      <x:c r="C16" s="11" t="str">
        <x:v>PENDING</x:v>
      </x:c>
      <x:c r="D16" s="14"/>
      <x:c r="E16" s="11"/>
      <x:c r="F16" s="11"/>
      <x:c r="G16" s="14"/>
      <x:c r="H16" s="10" t="str">
        <x:v>No additional targeted discrepancy was identified during this limited intake audit. This is not a certification that clinical eligibility or earliest-public timing has been fully independently verified.</x:v>
      </x:c>
      <x:c r="I16" s="10" t="str">
        <x:v>HGNC:28722</x:v>
      </x:c>
      <x:c r="J16" s="13" t="d">
        <x:v>2022-10-20T00:00:00.000Z</x:v>
      </x:c>
      <x:c r="K16" s="10" t="str">
        <x:v>CONFIRMED</x:v>
      </x:c>
      <x:c r="L16" s="10" t="str">
        <x:v>2022-10-20; interval 2022-01-01 to 2022-10-20</x:v>
      </x:c>
      <x:c r="M16" s="10" t="str">
        <x:v>None nominated beyond the supplied PDFs</x:v>
      </x:c>
      <x:c r="N16" s="10" t="str">
        <x:v>2022-10-20</x:v>
      </x:c>
    </x:row>
    <x:row r="17" ht="116" customHeight="1">
      <x:c r="A17" s="12" t="str">
        <x:v>CREB3</x:v>
      </x:c>
      <x:c r="B17" s="10" t="str">
        <x:v>Earlier-publicity interval: Does the May/July 2024 conference evidence publicly propose the retinal association? Keep an uncertainty interval unless an exact public-release day is verified.</x:v>
      </x:c>
      <x:c r="C17" s="11" t="str">
        <x:v>PENDING</x:v>
      </x:c>
      <x:c r="D17" s="14"/>
      <x:c r="E17" s="11"/>
      <x:c r="F17" s="11"/>
      <x:c r="G17" s="14"/>
      <x:c r="H17" s="10" t="str">
        <x:v>The returned date is the 2025-07-17 journal publication. The frozen protocol retained a 2024-05-01 to 2025-07-17 interval for earlier conference evidence. The old workbook displayed the interval's lower bound as an exact-looking date, so its display must not be treated as proof of an exact day.</x:v>
      </x:c>
      <x:c r="I17" s="10" t="str">
        <x:v>HGNC:2347</x:v>
      </x:c>
      <x:c r="J17" s="13" t="d">
        <x:v>2025-07-17T00:00:00.000Z</x:v>
      </x:c>
      <x:c r="K17" s="10" t="str">
        <x:v>REVISED</x:v>
      </x:c>
      <x:c r="L17" s="10" t="str">
        <x:v>2024-05-01; interval 2024-05-01 to 2025-07-17</x:v>
      </x:c>
      <x:c r="M17" s="10" t="str">
        <x:v>None nominated beyond the supplied PDFs</x:v>
      </x:c>
      <x:c r="N17" s="10" t="str">
        <x:v>Interval 2024-05-01 to 2025-07-17 pending earliest-publicity adjudication</x:v>
      </x:c>
    </x:row>
    <x:row r="18" ht="116" customHeight="1">
      <x:c r="A18" s="12" t="str">
        <x:v>CRLS1</x:v>
      </x:c>
      <x:c r="B18" s="10" t="str">
        <x:v>Acceptance vs public date: Confirm 2022-02-11 as advance-access publication, rather than acceptance on 2022-02-06 or the later issue date. Record the target sensory findings per family.</x:v>
      </x:c>
      <x:c r="C18" s="11" t="str">
        <x:v>PENDING</x:v>
      </x:c>
      <x:c r="D18" s="14"/>
      <x:c r="E18" s="11"/>
      <x:c r="F18" s="11"/>
      <x:c r="G18" s="14"/>
      <x:c r="H18" s="10" t="str">
        <x:v>Supplied PMID 35147173, PDF p.1, lists advance-access publication 2022-02-11 and acceptance 2022-02-06. The returned free-text date mixes acceptance and a later publication date. Acceptance is not proof of public availability.</x:v>
      </x:c>
      <x:c r="I18" s="10" t="str">
        <x:v>HGNC:16148</x:v>
      </x:c>
      <x:c r="J18" s="10" t="str">
        <x:v>2022-02-06 accpeted
2022-10-08 published</x:v>
      </x:c>
      <x:c r="K18" s="10" t="str">
        <x:v>REVISED</x:v>
      </x:c>
      <x:c r="L18" s="10" t="str">
        <x:v>2022-02-11; interval 2022-01-01 to 2022-02-11</x:v>
      </x:c>
      <x:c r="M18" s="10" t="str">
        <x:v>None nominated beyond the supplied PDFs</x:v>
      </x:c>
      <x:c r="N18" s="10" t="str">
        <x:v>2022-02-11 (advance access in supplied PDF); author confirmation pending</x:v>
      </x:c>
    </x:row>
    <x:row r="19" ht="116" customHeight="1">
      <x:c r="A19" s="12" t="str">
        <x:v>CTNND1</x:v>
      </x:c>
      <x:c r="B19" s="10" t="str">
        <x:v>Online version history: Distinguish the 2022-06-14 first-public candidate from the 2022-07-22 issue/PDF date, and confirm the prior non-target association remains separate.</x:v>
      </x:c>
      <x:c r="C19" s="11" t="str">
        <x:v>PENDING</x:v>
      </x:c>
      <x:c r="D19" s="14"/>
      <x:c r="E19" s="11"/>
      <x:c r="F19" s="11"/>
      <x:c r="G19" s="14"/>
      <x:c r="H19" s="10" t="str">
        <x:v>The supplied PMID 35700046 PDF p.2 lists 2022-07-22, while the frozen roster used 2022-06-14. This may reflect an in-press version; the PDF alone does not establish that no earlier public version existed.</x:v>
      </x:c>
      <x:c r="I19" s="10" t="str">
        <x:v>HGNC:2515</x:v>
      </x:c>
      <x:c r="J19" s="13" t="d">
        <x:v>2022-07-22T00:00:00.000Z</x:v>
      </x:c>
      <x:c r="K19" s="10" t="str">
        <x:v>PENDING</x:v>
      </x:c>
      <x:c r="L19" s="10" t="str">
        <x:v>2022-06-14; interval 2022-01-01 to 2022-06-14</x:v>
      </x:c>
      <x:c r="M19" s="10" t="str">
        <x:v>None nominated beyond the supplied PDFs</x:v>
      </x:c>
      <x:c r="N19" s="10" t="str">
        <x:v>2022-06-14 vs 2022-07-22; earliest public version needs confirmation</x:v>
      </x:c>
    </x:row>
    <x:row r="20" ht="116" customHeight="1">
      <x:c r="A20" s="12" t="str">
        <x:v>DHRSX</x:v>
      </x:c>
      <x:c r="B20" s="10" t="str">
        <x:v>Date field cleanup: Confirm the 2024-05-30 electronic-publication date as the first-public date and retain the later 2024-07-11 issue date only as bibliographic context.</x:v>
      </x:c>
      <x:c r="C20" s="11" t="str">
        <x:v>PENDING</x:v>
      </x:c>
      <x:c r="D20" s="14"/>
      <x:c r="E20" s="11"/>
      <x:c r="F20" s="11"/>
      <x:c r="G20" s="14"/>
      <x:c r="H20" s="10" t="str">
        <x:v>The returned free-text date contains both Epub and issue dates, with CONFIRMED selected. The Epub date agrees with the original AI date. Preserve the original text and enter a single exact date only after author confirmation.</x:v>
      </x:c>
      <x:c r="I20" s="10" t="str">
        <x:v>HGNC:18399</x:v>
      </x:c>
      <x:c r="J20" s="10" t="str">
        <x:v>Epub 2024-05-30
Pub 2024-07-11</x:v>
      </x:c>
      <x:c r="K20" s="10" t="str">
        <x:v>CONFIRMED</x:v>
      </x:c>
      <x:c r="L20" s="10" t="str">
        <x:v>2024-05-30; interval 2024-01-01 to 2024-05-30</x:v>
      </x:c>
      <x:c r="M20" s="10" t="str">
        <x:v>None nominated beyond the supplied PDFs</x:v>
      </x:c>
      <x:c r="N20" s="10" t="str">
        <x:v>2024-05-30 (returned Epub date agrees with original)</x:v>
      </x:c>
    </x:row>
    <x:row r="21" ht="116" customHeight="1">
      <x:c r="A21" s="12" t="str">
        <x:v>DNAJC30</x:v>
      </x:c>
      <x:c r="B21" s="10" t="str">
        <x:v>In-press preview vs issue: Confirm that first-public timing follows the 2021-01-19 in-press preview, not acceptance on 2021-01-14 or the March issue.</x:v>
      </x:c>
      <x:c r="C21" s="11" t="str">
        <x:v>PENDING</x:v>
      </x:c>
      <x:c r="D21" s="14"/>
      <x:c r="E21" s="11"/>
      <x:c r="F21" s="11"/>
      <x:c r="G21" s="14"/>
      <x:c r="H21" s="10" t="str">
        <x:v>The supplied PMID 33465056 PDF gives the 2021-03-15 issue/publication version. The JCI publisher version history independently lists version 1 in-press preview on 2021-01-19 and version 2 on 2021-03-15: https://www.jci.org/articles/view/138267 .</x:v>
      </x:c>
      <x:c r="I21" s="10" t="str">
        <x:v>HGNC:16410</x:v>
      </x:c>
      <x:c r="J21" s="10" t="str">
        <x:v>Accepter 2021-01-14
published: 2021-3-15</x:v>
      </x:c>
      <x:c r="K21" s="10" t="str">
        <x:v>REVISED</x:v>
      </x:c>
      <x:c r="L21" s="10" t="str">
        <x:v>2021-01-19; interval 2021-01-01 to 2021-01-19</x:v>
      </x:c>
      <x:c r="M21" s="10" t="str">
        <x:v>None nominated beyond the supplied PDFs</x:v>
      </x:c>
      <x:c r="N21" s="10" t="str">
        <x:v>2021-01-19 (publisher in-press preview); author confirmation pending</x:v>
      </x:c>
    </x:row>
    <x:row r="22" ht="116" customHeight="1">
      <x:c r="A22" s="12" t="str">
        <x:v>CLXN (EFCAB1)</x:v>
      </x:c>
      <x:c r="B22" s="10" t="str">
        <x:v>Symbol mapping and sign-off: Use CLXN (formerly EFCAB1) for the current display name, keeping stable HGNC:25678 and the frozen historical symbol. Finalize the pending eligibility decision.</x:v>
      </x:c>
      <x:c r="C22" s="11" t="str">
        <x:v>PENDING</x:v>
      </x:c>
      <x:c r="D22" s="14"/>
      <x:c r="E22" s="11"/>
      <x:c r="F22" s="11"/>
      <x:c r="G22" s="14"/>
      <x:c r="H22" s="10" t="str">
        <x:v>The professor's A22 comment requests CLXN. ClinGen's primary gene record gives CLXN, HGNC:25678, previous symbol EFCAB1: https://search.clinicalgenome.org/kb/genes/HGNC%3A25678 . No gene-identity or score remapping is required.</x:v>
      </x:c>
      <x:c r="I22" s="10" t="str">
        <x:v>HGNC:25678</x:v>
      </x:c>
      <x:c r="J22" s="13" t="d">
        <x:v>2023-01-31T00:00:00.000Z</x:v>
      </x:c>
      <x:c r="K22" s="10" t="str">
        <x:v>CONFIRMED</x:v>
      </x:c>
      <x:c r="L22" s="10" t="str">
        <x:v>2023-01-31; interval 2023-01-01 to 2023-01-31</x:v>
      </x:c>
      <x:c r="M22" s="10" t="str">
        <x:v>None nominated beyond the supplied PDFs</x:v>
      </x:c>
      <x:c r="N22" s="10" t="str">
        <x:v>2023-01-31; no numeric date mismatch detected</x:v>
      </x:c>
    </x:row>
    <x:row r="23" ht="116" customHeight="1">
      <x:c r="A23" s="12" t="str">
        <x:v>FSD1L</x:v>
      </x:c>
      <x:c r="B23" s="10" t="str">
        <x:v>Target-specific companion report: Review the retinal companion paper before counting target-affected families; distinguish those families from the neurodevelopmental cohort. Confirm the online date.</x:v>
      </x:c>
      <x:c r="C23" s="11" t="str">
        <x:v>PENDING</x:v>
      </x:c>
      <x:c r="D23" s="14"/>
      <x:c r="E23" s="11"/>
      <x:c r="F23" s="11"/>
      <x:c r="G23" s="14"/>
      <x:c r="H23" s="10" t="str">
        <x:v>The supplied PMID 41720098 concerns a neurodevelopmental disorder; the frozen retinal cohort cites companion PMID 41720099 (not attached) for six retinal individuals/four families. Supplied PDF p.15 lists publication 2026-02-19, earlier than the returned 2026-03-05 issue date.</x:v>
      </x:c>
      <x:c r="I23" s="10" t="str">
        <x:v>HGNC:13753</x:v>
      </x:c>
      <x:c r="J23" s="13" t="d">
        <x:v>2026-03-05T00:00:00.000Z</x:v>
      </x:c>
      <x:c r="K23" s="10" t="str">
        <x:v>REVISED</x:v>
      </x:c>
      <x:c r="L23" s="10" t="str">
        <x:v>2026-02-19; interval 2026-01-01 to 2026-02-19</x:v>
      </x:c>
      <x:c r="M23" s="10" t="str">
        <x:v>41720099</x:v>
      </x:c>
      <x:c r="N23" s="10" t="str">
        <x:v>2026-02-19 (publication history in supplied PDF); target report verification pending</x:v>
      </x:c>
    </x:row>
    <x:row r="24" ht="116" customHeight="1">
      <x:c r="A24" s="12" t="str">
        <x:v>GPATCH11</x:v>
      </x:c>
      <x:c r="B24" s="10" t="str">
        <x:v>Earlier preprint: Check whether preprint PPR705483 already proposed the relevant human retinal association before the 2024 journal article.</x:v>
      </x:c>
      <x:c r="C24" s="11" t="str">
        <x:v>PENDING</x:v>
      </x:c>
      <x:c r="D24" s="14"/>
      <x:c r="E24" s="11"/>
      <x:c r="F24" s="11"/>
      <x:c r="G24" s="14"/>
      <x:c r="H24" s="10" t="str">
        <x:v>The returned field lists received 2023-10-09, accepted 2024-11-13 and online 2024-11-21. The frozen screening nominated a 2023-08-21 preprint; received/accepted dates do not replace a public preprint date.</x:v>
      </x:c>
      <x:c r="I24" s="10" t="str">
        <x:v>HGNC:26768</x:v>
      </x:c>
      <x:c r="J24" s="10" t="str">
        <x:v>received 2023-10-09
Accepted 2024-11-13
Published online 2024-11-21</x:v>
      </x:c>
      <x:c r="K24" s="10" t="str">
        <x:v>REVISED</x:v>
      </x:c>
      <x:c r="L24" s="10" t="str">
        <x:v>2023-08-21; interval 2023-01-01 to 2023-08-21</x:v>
      </x:c>
      <x:c r="M24" s="10" t="str">
        <x:v>None nominated beyond the supplied PDFs</x:v>
      </x:c>
      <x:c r="N24" s="10" t="str">
        <x:v>2023-08-21 frozen preprint candidate vs 2024-11-21 journal date; verify earliest public source</x:v>
      </x:c>
    </x:row>
    <x:row r="25" ht="116" customHeight="1">
      <x:c r="A25" s="12" t="str">
        <x:v>GPR156</x:v>
      </x:c>
      <x:c r="B25" s="10" t="str">
        <x:v>Please explicitly decide whether the gene meets the target phenotype, unrelated-family, inheritance, functional/replication and post-cutoff rules. The returned eligibility cell is still PENDING.</x:v>
      </x:c>
      <x:c r="C25" s="11" t="str">
        <x:v>PENDING</x:v>
      </x:c>
      <x:c r="D25" s="14"/>
      <x:c r="E25" s="11"/>
      <x:c r="F25" s="11"/>
      <x:c r="G25" s="14"/>
      <x:c r="H25" s="10" t="str">
        <x:v>No additional targeted discrepancy was identified during this limited intake audit. This is not a certification that clinical eligibility or earliest-public timing has been fully independently verified.</x:v>
      </x:c>
      <x:c r="I25" s="10" t="str">
        <x:v>HGNC:20844</x:v>
      </x:c>
      <x:c r="J25" s="13" t="d">
        <x:v>2023-03-16T00:00:00.000Z</x:v>
      </x:c>
      <x:c r="K25" s="10" t="str">
        <x:v>CONFIRMED</x:v>
      </x:c>
      <x:c r="L25" s="10" t="str">
        <x:v>2023-03-16; interval 2023-01-01 to 2023-03-16</x:v>
      </x:c>
      <x:c r="M25" s="10" t="str">
        <x:v>None nominated beyond the supplied PDFs</x:v>
      </x:c>
      <x:c r="N25" s="10" t="str">
        <x:v>2023-03-16</x:v>
      </x:c>
    </x:row>
    <x:row r="26" ht="116" customHeight="1">
      <x:c r="A26" s="12" t="str">
        <x:v>IDH3G</x:v>
      </x:c>
      <x:c r="B26" s="10" t="str">
        <x:v>Please explicitly decide whether the gene meets the target phenotype, unrelated-family, inheritance, functional/replication and post-cutoff rules. The returned eligibility cell is still PENDING.</x:v>
      </x:c>
      <x:c r="C26" s="11" t="str">
        <x:v>PENDING</x:v>
      </x:c>
      <x:c r="D26" s="14"/>
      <x:c r="E26" s="11"/>
      <x:c r="F26" s="11"/>
      <x:c r="G26" s="14"/>
      <x:c r="H26" s="10" t="str">
        <x:v>No additional targeted discrepancy was identified during this limited intake audit. This is not a certification that clinical eligibility or earliest-public timing has been fully independently verified.</x:v>
      </x:c>
      <x:c r="I26" s="10" t="str">
        <x:v>HGNC:5386</x:v>
      </x:c>
      <x:c r="J26" s="13" t="d">
        <x:v>2025-03-19T00:00:00.000Z</x:v>
      </x:c>
      <x:c r="K26" s="10" t="str">
        <x:v>PENDING</x:v>
      </x:c>
      <x:c r="L26" s="10" t="str">
        <x:v>2025-03-19; interval 2025-01-01 to 2025-03-19</x:v>
      </x:c>
      <x:c r="M26" s="10" t="str">
        <x:v>None nominated beyond the supplied PDFs</x:v>
      </x:c>
      <x:c r="N26" s="10" t="str">
        <x:v>2025-03-19</x:v>
      </x:c>
    </x:row>
    <x:row r="27" ht="116" customHeight="1">
      <x:c r="A27" s="12" t="str">
        <x:v>INTS11</x:v>
      </x:c>
      <x:c r="B27" s="10" t="str">
        <x:v>Target families across reports: Verify at least two unrelated retinal/optic families across the nominated reports; do not substitute all 10 neurological families for target-family evidence.</x:v>
      </x:c>
      <x:c r="C27" s="11" t="str">
        <x:v>PENDING</x:v>
      </x:c>
      <x:c r="D27" s="14"/>
      <x:c r="E27" s="11"/>
      <x:c r="F27" s="11"/>
      <x:c r="G27" s="14"/>
      <x:c r="H27" s="10" t="str">
        <x:v>The return covers PMID 37054711 and 15 neurological individuals/10 families. The frozen screening locates retinal evidence in one early family plus an independent 2026 family, citing 37980560 and 41810893, neither attached. The returned Epub 2023-04-12 agrees with the original date.</x:v>
      </x:c>
      <x:c r="I27" s="10" t="str">
        <x:v>HGNC:26052</x:v>
      </x:c>
      <x:c r="J27" s="10" t="str">
        <x:v>Epub 2023-04-12
pub 2023-05-04</x:v>
      </x:c>
      <x:c r="K27" s="10" t="str">
        <x:v>PENDING</x:v>
      </x:c>
      <x:c r="L27" s="10" t="str">
        <x:v>2023-04-12; interval 2023-01-01 to 2023-04-12</x:v>
      </x:c>
      <x:c r="M27" s="10" t="str">
        <x:v>37980560; 41810893</x:v>
      </x:c>
      <x:c r="N27" s="10" t="str">
        <x:v>2023-04-12 (returned Epub agrees); target-family evidence requires confirmation</x:v>
      </x:c>
    </x:row>
    <x:row r="28" ht="116" customHeight="1">
      <x:c r="A28" s="12" t="str">
        <x:v>KCNJ16</x:v>
      </x:c>
      <x:c r="B28" s="10" t="str">
        <x:v>Date field cleanup: Select the Epub date rather than the later issue date, and confirm the target hearing evidence per family before final eligibility sign-off.</x:v>
      </x:c>
      <x:c r="C28" s="11" t="str">
        <x:v>PENDING</x:v>
      </x:c>
      <x:c r="D28" s="14"/>
      <x:c r="E28" s="11"/>
      <x:c r="F28" s="11"/>
      <x:c r="G28" s="14"/>
      <x:c r="H28" s="10" t="str">
        <x:v>The return lists Epub 2021-04-02 and issue 2021-06-01. The frozen roster also nominated PMID 33840812, not attached; absence from this ZIP is not proof that the evidence is absent.</x:v>
      </x:c>
      <x:c r="I28" s="10" t="str">
        <x:v>HGNC:6262</x:v>
      </x:c>
      <x:c r="J28" s="10" t="str">
        <x:v>Epub 2021-04-02
pub 2021-06-01</x:v>
      </x:c>
      <x:c r="K28" s="10" t="str">
        <x:v>PENDING</x:v>
      </x:c>
      <x:c r="L28" s="10" t="str">
        <x:v>2021-04-02; interval 2021-01-01 to 2021-04-02</x:v>
      </x:c>
      <x:c r="M28" s="10" t="str">
        <x:v>33840812</x:v>
      </x:c>
      <x:c r="N28" s="10" t="str">
        <x:v>2021-04-02 (returned Epub agrees with original)</x:v>
      </x:c>
    </x:row>
    <x:row r="29" ht="116" customHeight="1">
      <x:c r="A29" s="12" t="str">
        <x:v>KIAA1024L</x:v>
      </x:c>
      <x:c r="B29" s="10" t="str">
        <x:v>Please explicitly decide whether the gene meets the target phenotype, unrelated-family, inheritance, functional/replication and post-cutoff rules. The returned eligibility cell is still PENDING.</x:v>
      </x:c>
      <x:c r="C29" s="11" t="str">
        <x:v>PENDING</x:v>
      </x:c>
      <x:c r="D29" s="14"/>
      <x:c r="E29" s="11"/>
      <x:c r="F29" s="11"/>
      <x:c r="G29" s="14"/>
      <x:c r="H29" s="10" t="str">
        <x:v>No additional targeted discrepancy was identified during this limited intake audit. This is not a certification that clinical eligibility or earliest-public timing has been fully independently verified.</x:v>
      </x:c>
      <x:c r="I29" s="10" t="str">
        <x:v>HGNC:33914</x:v>
      </x:c>
      <x:c r="J29" s="13" t="d">
        <x:v>2022-06-21T00:00:00.000Z</x:v>
      </x:c>
      <x:c r="K29" s="10" t="str">
        <x:v>PENDING</x:v>
      </x:c>
      <x:c r="L29" s="10" t="str">
        <x:v>2022-06-21; interval 2022-01-01 to 2022-06-21</x:v>
      </x:c>
      <x:c r="M29" s="10" t="str">
        <x:v>None nominated beyond the supplied PDFs</x:v>
      </x:c>
      <x:c r="N29" s="10" t="str">
        <x:v>2022-06-21</x:v>
      </x:c>
    </x:row>
    <x:row r="30" ht="116" customHeight="1">
      <x:c r="A30" s="12" t="str">
        <x:v>LIG3</x:v>
      </x:c>
      <x:c r="B30" s="10" t="str">
        <x:v>Target scope and online date: Identify which unrelated families have retinal/optic findings, separately from the general neurogastrointestinal syndrome. Confirm the advance-access date.</x:v>
      </x:c>
      <x:c r="C30" s="11" t="str">
        <x:v>PENDING</x:v>
      </x:c>
      <x:c r="D30" s="14"/>
      <x:c r="E30" s="11"/>
      <x:c r="F30" s="11"/>
      <x:c r="G30" s="14"/>
      <x:c r="H30" s="10" t="str">
        <x:v>The returned summary reports the broader neurological/GI phenotype. Supplied PMID 33855352 p.1 gives advance access 2021-04-15, earlier than the returned 2021-06-22 issue date. The frozen notes nominate macular degeneration in relevant families; this still needs explicit human target-family confirmation.</x:v>
      </x:c>
      <x:c r="I30" s="10" t="str">
        <x:v>HGNC:6600</x:v>
      </x:c>
      <x:c r="J30" s="13" t="d">
        <x:v>2021-06-22T00:00:00.000Z</x:v>
      </x:c>
      <x:c r="K30" s="10" t="str">
        <x:v>PENDING</x:v>
      </x:c>
      <x:c r="L30" s="10" t="str">
        <x:v>2021-04-15; interval 2021-01-01 to 2021-04-15</x:v>
      </x:c>
      <x:c r="M30" s="10" t="str">
        <x:v>None nominated beyond the supplied PDFs</x:v>
      </x:c>
      <x:c r="N30" s="10" t="str">
        <x:v>2021-04-15 (advance access in supplied PDF); target-family confirmation pending</x:v>
      </x:c>
    </x:row>
    <x:row r="31" ht="116" customHeight="1">
      <x:c r="A31" s="12" t="str">
        <x:v>MRPL49</x:v>
      </x:c>
      <x:c r="B31" s="10" t="str">
        <x:v>Earlier-publicity interval: Check the earlier thesis/conference/preprint evidence and target-family counts before replacing the frozen date interval with the 2025 issue date.</x:v>
      </x:c>
      <x:c r="C31" s="11" t="str">
        <x:v>PENDING</x:v>
      </x:c>
      <x:c r="D31" s="14"/>
      <x:c r="E31" s="11"/>
      <x:c r="F31" s="11"/>
      <x:c r="G31" s="14"/>
      <x:c r="H31" s="10" t="str">
        <x:v>The frozen interval is 2022-01-01 to 2024-10-11, with nominated preprint PPR923018 on 2024-10-11. The returned date is 2025-04-03. The interval's lower bound is not an exact verified release day.</x:v>
      </x:c>
      <x:c r="I31" s="10" t="str">
        <x:v>HGNC:1176</x:v>
      </x:c>
      <x:c r="J31" s="13" t="d">
        <x:v>2025-04-03T00:00:00.000Z</x:v>
      </x:c>
      <x:c r="K31" s="10" t="str">
        <x:v>PENDING</x:v>
      </x:c>
      <x:c r="L31" s="10" t="str">
        <x:v>2024-10-11; interval 2022-01-01 to 2024-10-11</x:v>
      </x:c>
      <x:c r="M31" s="10" t="str">
        <x:v>None nominated beyond the supplied PDFs</x:v>
      </x:c>
      <x:c r="N31" s="10" t="str">
        <x:v>Interval 2022-01-01 to 2024-10-11 pending earliest-publicity adjudication</x:v>
      </x:c>
    </x:row>
    <x:row r="32" ht="116" customHeight="1">
      <x:c r="A32" s="12" t="str">
        <x:v>PDIA6</x:v>
      </x:c>
      <x:c r="B32" s="10" t="str">
        <x:v>Additional target families: Confirm later independent target-affected families and qualifying ciliary/functional evidence. Do not exclude or include from the first single-family paper alone. Separate acceptance from public release.</x:v>
      </x:c>
      <x:c r="C32" s="11" t="str">
        <x:v>PENDING</x:v>
      </x:c>
      <x:c r="D32" s="14"/>
      <x:c r="E32" s="11"/>
      <x:c r="F32" s="11"/>
      <x:c r="G32" s="14"/>
      <x:c r="H32" s="10" t="str">
        <x:v>Supplied PMID 33495992 describes one patient/family; p.1 gives acceptance 2021-01-21. The frozen evidence also cites 35856135 and 40974269, not attached. The 2021-01-26 date was the frozen public-date candidate; acceptance on 2021-01-21 is not public-release evidence.</x:v>
      </x:c>
      <x:c r="I32" s="10" t="str">
        <x:v>HGNC:30168</x:v>
      </x:c>
      <x:c r="J32" s="13" t="d">
        <x:v>2021-01-21T00:00:00.000Z</x:v>
      </x:c>
      <x:c r="K32" s="10" t="str">
        <x:v>PENDING</x:v>
      </x:c>
      <x:c r="L32" s="10" t="str">
        <x:v>2021-01-26; interval 2021-01-01 to 2021-01-26</x:v>
      </x:c>
      <x:c r="M32" s="10" t="str">
        <x:v>35856135; 40974269</x:v>
      </x:c>
      <x:c r="N32" s="10" t="str">
        <x:v>2021-01-26 frozen public-date candidate; 2021-01-21 is acceptance, not an adopted correction</x:v>
      </x:c>
    </x:row>
    <x:row r="33" ht="116" customHeight="1">
      <x:c r="A33" s="12" t="str">
        <x:v>PKHD1L1</x:v>
      </x:c>
      <x:c r="B33" s="10" t="str">
        <x:v>Earlier preprint: Check the earlier 2023 public report before adopting the 2024 journal date as the first proposed target association.</x:v>
      </x:c>
      <x:c r="C33" s="11" t="str">
        <x:v>PENDING</x:v>
      </x:c>
      <x:c r="D33" s="14"/>
      <x:c r="E33" s="11"/>
      <x:c r="F33" s="11"/>
      <x:c r="G33" s="14"/>
      <x:c r="H33" s="10" t="str">
        <x:v>The return records 2024-03-09. The frozen roster used 2023-10-09 based on earlier-publicity screening. Confirm that the early version contains the same relevant human hearing association.</x:v>
      </x:c>
      <x:c r="I33" s="10" t="str">
        <x:v>HGNC:20313</x:v>
      </x:c>
      <x:c r="J33" s="13" t="d">
        <x:v>2024-03-09T00:00:00.000Z</x:v>
      </x:c>
      <x:c r="K33" s="10" t="str">
        <x:v>PENDING</x:v>
      </x:c>
      <x:c r="L33" s="10" t="str">
        <x:v>2023-10-09; interval 2023-01-01 to 2023-10-09</x:v>
      </x:c>
      <x:c r="M33" s="10" t="str">
        <x:v>None nominated beyond the supplied PDFs</x:v>
      </x:c>
      <x:c r="N33" s="10" t="str">
        <x:v>2023-10-09 frozen earlier-publicity candidate vs 2024-03-09 journal date</x:v>
      </x:c>
    </x:row>
    <x:row r="34" ht="116" customHeight="1">
      <x:c r="A34" s="12" t="str">
        <x:v>PLCG1</x:v>
      </x:c>
      <x:c r="B34" s="10" t="str">
        <x:v>Prior immune vs target sensory association: Keep the earlier immune-only report separate from the later hearing/ocular target report. Verify hearing/retinal target-family evidence and the earliest public target preprint.</x:v>
      </x:c>
      <x:c r="C34" s="11" t="str">
        <x:v>PENDING</x:v>
      </x:c>
      <x:c r="D34" s="14"/>
      <x:c r="E34" s="11"/>
      <x:c r="F34" s="11"/>
      <x:c r="G34" s="14"/>
      <x:c r="H34" s="10" t="str">
        <x:v>Both PMIDs 37422272 and 40862571 are supplied. The return mixes an uncertain 2023 date with a 2025 date. The frozen target date is a 2024-01-09 preprint candidate; category B separates the earlier non-target germline immune association.</x:v>
      </x:c>
      <x:c r="I34" s="10" t="str">
        <x:v>HGNC:9065</x:v>
      </x:c>
      <x:c r="J34" s="10" t="str">
        <x:v>2023-11-??
2025-08-17</x:v>
      </x:c>
      <x:c r="K34" s="10" t="str">
        <x:v>PENDING</x:v>
      </x:c>
      <x:c r="L34" s="10" t="str">
        <x:v>2024-01-09; interval 2024-01-01 to 2024-01-09</x:v>
      </x:c>
      <x:c r="M34" s="10" t="str">
        <x:v>None nominated beyond the supplied PDFs</x:v>
      </x:c>
      <x:c r="N34" s="10" t="str">
        <x:v>2024-01-09 frozen TARGET preprint candidate; do not use the immune-only date automatically</x:v>
      </x:c>
    </x:row>
    <x:row r="35" ht="116" customHeight="1">
      <x:c r="A35" s="12" t="str">
        <x:v>PSKH1</x:v>
      </x:c>
      <x:c r="B35" s="10" t="str">
        <x:v>Please explicitly decide whether the gene meets the target phenotype, unrelated-family, inheritance, functional/replication and post-cutoff rules. The returned eligibility cell is still PENDING.</x:v>
      </x:c>
      <x:c r="C35" s="11" t="str">
        <x:v>PENDING</x:v>
      </x:c>
      <x:c r="D35" s="14"/>
      <x:c r="E35" s="11"/>
      <x:c r="F35" s="11"/>
      <x:c r="G35" s="14"/>
      <x:c r="H35" s="10" t="str">
        <x:v>No additional targeted discrepancy was identified during this limited intake audit. This is not a certification that clinical eligibility or earliest-public timing has been fully independently verified.</x:v>
      </x:c>
      <x:c r="I35" s="10" t="str">
        <x:v>HGNC:9529</x:v>
      </x:c>
      <x:c r="J35" s="13" t="d">
        <x:v>2024-08-09T00:00:00.000Z</x:v>
      </x:c>
      <x:c r="K35" s="10" t="str">
        <x:v>PENDING</x:v>
      </x:c>
      <x:c r="L35" s="10" t="str">
        <x:v>2024-08-09; interval 2024-01-01 to 2024-08-09</x:v>
      </x:c>
      <x:c r="M35" s="10" t="str">
        <x:v>None nominated beyond the supplied PDFs</x:v>
      </x:c>
      <x:c r="N35" s="10" t="str">
        <x:v>2024-08-09</x:v>
      </x:c>
    </x:row>
    <x:row r="36" ht="116" customHeight="1">
      <x:c r="A36" s="12" t="str">
        <x:v>RFC4</x:v>
      </x:c>
      <x:c r="B36" s="10" t="str">
        <x:v>Online vs issue date: Confirm the publication-history date rather than the later issue date, and identify the target hearing families within the systemic cohort.</x:v>
      </x:c>
      <x:c r="C36" s="11" t="str">
        <x:v>PENDING</x:v>
      </x:c>
      <x:c r="D36" s="14"/>
      <x:c r="E36" s="11"/>
      <x:c r="F36" s="11"/>
      <x:c r="G36" s="14"/>
      <x:c r="H36" s="10" t="str">
        <x:v>Supplied PMID 39106866 p.23 lists publication 2024-08-05; the returned date is 2024-09-05. The original AI date agrees with the supplied publication history.</x:v>
      </x:c>
      <x:c r="I36" s="10" t="str">
        <x:v>HGNC:9972</x:v>
      </x:c>
      <x:c r="J36" s="13" t="d">
        <x:v>2024-09-05T00:00:00.000Z</x:v>
      </x:c>
      <x:c r="K36" s="10" t="str">
        <x:v>PENDING</x:v>
      </x:c>
      <x:c r="L36" s="10" t="str">
        <x:v>2024-08-05; interval 2024-01-01 to 2024-08-05</x:v>
      </x:c>
      <x:c r="M36" s="10" t="str">
        <x:v>None nominated beyond the supplied PDFs</x:v>
      </x:c>
      <x:c r="N36" s="10" t="str">
        <x:v>2024-08-05 (publication history in supplied PDF)</x:v>
      </x:c>
    </x:row>
    <x:row r="37" ht="116" customHeight="1">
      <x:c r="A37" s="12" t="str">
        <x:v>RNF220</x:v>
      </x:c>
      <x:c r="B37" s="10" t="str">
        <x:v>Please explicitly decide whether the gene meets the target phenotype, unrelated-family, inheritance, functional/replication and post-cutoff rules. The returned eligibility cell is still PENDING.</x:v>
      </x:c>
      <x:c r="C37" s="11" t="str">
        <x:v>PENDING</x:v>
      </x:c>
      <x:c r="D37" s="14"/>
      <x:c r="E37" s="11"/>
      <x:c r="F37" s="11"/>
      <x:c r="G37" s="14"/>
      <x:c r="H37" s="10" t="str">
        <x:v>No additional targeted discrepancy was identified during this limited intake audit. This is not a certification that clinical eligibility or earliest-public timing has been fully independently verified.</x:v>
      </x:c>
      <x:c r="I37" s="10" t="str">
        <x:v>HGNC:25552</x:v>
      </x:c>
      <x:c r="J37" s="13" t="d">
        <x:v>2021-05-08T00:00:00.000Z</x:v>
      </x:c>
      <x:c r="K37" s="10" t="str">
        <x:v>PENDING</x:v>
      </x:c>
      <x:c r="L37" s="10" t="str">
        <x:v>2021-05-08; interval 2021-01-01 to 2021-05-08</x:v>
      </x:c>
      <x:c r="M37" s="10" t="str">
        <x:v>None nominated beyond the supplied PDFs</x:v>
      </x:c>
      <x:c r="N37" s="10" t="str">
        <x:v>2021-05-08</x:v>
      </x:c>
    </x:row>
    <x:row r="38" ht="116" customHeight="1">
      <x:c r="A38" s="12" t="str">
        <x:v>RNU4-2</x:v>
      </x:c>
      <x:c r="B38" s="10" t="str">
        <x:v>Earlier preprint and target-specific variant: Verify the retinal-specific allele/family evidence separately from earlier neurodevelopmental RNU4-2 disease, and check the earlier target preprint.</x:v>
      </x:c>
      <x:c r="C38" s="11" t="str">
        <x:v>PENDING</x:v>
      </x:c>
      <x:c r="D38" s="14"/>
      <x:c r="E38" s="11"/>
      <x:c r="F38" s="11"/>
      <x:c r="G38" s="14"/>
      <x:c r="H38" s="10" t="str">
        <x:v>The supplied PMID 41513982 journal article is online 2026-01-09; the frozen target preprint candidate is 2025-01-06. The four RNU-labelled PDFs are copies/versions of the same paper, not independent replication reports.</x:v>
      </x:c>
      <x:c r="I38" s="10" t="str">
        <x:v>HGNC:10193</x:v>
      </x:c>
      <x:c r="J38" s="13" t="d">
        <x:v>2026-01-09T00:00:00.000Z</x:v>
      </x:c>
      <x:c r="K38" s="10" t="str">
        <x:v>PENDING</x:v>
      </x:c>
      <x:c r="L38" s="10" t="str">
        <x:v>2025-01-06; interval 2025-01-01 to 2025-01-06</x:v>
      </x:c>
      <x:c r="M38" s="10" t="str">
        <x:v>None nominated beyond the supplied PDFs</x:v>
      </x:c>
      <x:c r="N38" s="10" t="str">
        <x:v>2025-01-06 frozen target-preprint candidate vs 2026-01-09 journal date</x:v>
      </x:c>
    </x:row>
    <x:row r="39" ht="116" customHeight="1">
      <x:c r="A39" s="12" t="str">
        <x:v>RNU6-2</x:v>
      </x:c>
      <x:c r="B39" s="10" t="str">
        <x:v>Earlier preprint: Check the 2025 target preprint and gene-specific family count before adopting the 2026 journal date.</x:v>
      </x:c>
      <x:c r="C39" s="11" t="str">
        <x:v>PENDING</x:v>
      </x:c>
      <x:c r="D39" s="14"/>
      <x:c r="E39" s="11"/>
      <x:c r="F39" s="11"/>
      <x:c r="G39" s="14"/>
      <x:c r="H39" s="10" t="str">
        <x:v>The supplied PMID 41513982 is online 2026-01-09; the frozen target preprint candidate is 2025-01-06. Duplicate RNU-labelled PDF copies are not independent reports.</x:v>
      </x:c>
      <x:c r="I39" s="10" t="str">
        <x:v>HGNC:34270</x:v>
      </x:c>
      <x:c r="J39" s="13" t="d">
        <x:v>2026-01-09T00:00:00.000Z</x:v>
      </x:c>
      <x:c r="K39" s="10" t="str">
        <x:v>PENDING</x:v>
      </x:c>
      <x:c r="L39" s="10" t="str">
        <x:v>2025-01-06; interval 2025-01-01 to 2025-01-06</x:v>
      </x:c>
      <x:c r="M39" s="10" t="str">
        <x:v>None nominated beyond the supplied PDFs</x:v>
      </x:c>
      <x:c r="N39" s="10" t="str">
        <x:v>2025-01-06 frozen target-preprint candidate vs 2026-01-09 journal date</x:v>
      </x:c>
    </x:row>
    <x:row r="40" ht="116" customHeight="1">
      <x:c r="A40" s="12" t="str">
        <x:v>RNU6-8</x:v>
      </x:c>
      <x:c r="B40" s="10" t="str">
        <x:v>Earlier preprint: Check the 2025 target preprint and gene-specific family count before adopting the 2026 journal date.</x:v>
      </x:c>
      <x:c r="C40" s="11" t="str">
        <x:v>PENDING</x:v>
      </x:c>
      <x:c r="D40" s="14"/>
      <x:c r="E40" s="11"/>
      <x:c r="F40" s="11"/>
      <x:c r="G40" s="14"/>
      <x:c r="H40" s="10" t="str">
        <x:v>The supplied PMID 41513982 is online 2026-01-09; the frozen target preprint candidate is 2025-01-06. Duplicate RNU-labelled PDF copies are not independent reports.</x:v>
      </x:c>
      <x:c r="I40" s="10" t="str">
        <x:v>HGNC:34285</x:v>
      </x:c>
      <x:c r="J40" s="13" t="d">
        <x:v>2026-01-09T00:00:00.000Z</x:v>
      </x:c>
      <x:c r="K40" s="10" t="str">
        <x:v>PENDING</x:v>
      </x:c>
      <x:c r="L40" s="10" t="str">
        <x:v>2025-01-06; interval 2025-01-01 to 2025-01-06</x:v>
      </x:c>
      <x:c r="M40" s="10" t="str">
        <x:v>None nominated beyond the supplied PDFs</x:v>
      </x:c>
      <x:c r="N40" s="10" t="str">
        <x:v>2025-01-06 frozen target-preprint candidate vs 2026-01-09 journal date</x:v>
      </x:c>
    </x:row>
    <x:row r="41" ht="116" customHeight="1">
      <x:c r="A41" s="12" t="str">
        <x:v>RNU6-9</x:v>
      </x:c>
      <x:c r="B41" s="10" t="str">
        <x:v>Earlier preprint: Check the 2025 target preprint and gene-specific family count before adopting the 2026 journal date.</x:v>
      </x:c>
      <x:c r="C41" s="11" t="str">
        <x:v>PENDING</x:v>
      </x:c>
      <x:c r="D41" s="14"/>
      <x:c r="E41" s="11"/>
      <x:c r="F41" s="11"/>
      <x:c r="G41" s="14"/>
      <x:c r="H41" s="10" t="str">
        <x:v>The supplied PMID 41513982 is online 2026-01-09; the frozen target preprint candidate is 2025-01-06. Duplicate RNU-labelled PDF copies are not independent reports.</x:v>
      </x:c>
      <x:c r="I41" s="10" t="str">
        <x:v>HGNC:34269</x:v>
      </x:c>
      <x:c r="J41" s="13" t="d">
        <x:v>2026-01-09T00:00:00.000Z</x:v>
      </x:c>
      <x:c r="K41" s="10" t="str">
        <x:v>PENDING</x:v>
      </x:c>
      <x:c r="L41" s="10" t="str">
        <x:v>2025-01-06; interval 2025-01-01 to 2025-01-06</x:v>
      </x:c>
      <x:c r="M41" s="10" t="str">
        <x:v>None nominated beyond the supplied PDFs</x:v>
      </x:c>
      <x:c r="N41" s="10" t="str">
        <x:v>2025-01-06 frozen target-preprint candidate vs 2026-01-09 journal date</x:v>
      </x:c>
    </x:row>
    <x:row r="42" ht="116" customHeight="1">
      <x:c r="A42" s="12" t="str">
        <x:v>RSG1</x:v>
      </x:c>
      <x:c r="B42" s="10" t="str">
        <x:v>Earlier preprint: Check whether the earlier 2024 public version already contained the target human ciliopathy association.</x:v>
      </x:c>
      <x:c r="C42" s="11" t="str">
        <x:v>PENDING</x:v>
      </x:c>
      <x:c r="D42" s="14"/>
      <x:c r="E42" s="11"/>
      <x:c r="F42" s="11"/>
      <x:c r="G42" s="14"/>
      <x:c r="H42" s="10" t="str">
        <x:v>The supplied PMID 40593758 gives journal online publication 2025-07-01; the frozen earlier-publicity candidate is 2024-09-26. The journal date alone does not refute the earlier version.</x:v>
      </x:c>
      <x:c r="I42" s="10" t="str">
        <x:v>HGNC:28127</x:v>
      </x:c>
      <x:c r="J42" s="13" t="d">
        <x:v>2025-07-01T00:00:00.000Z</x:v>
      </x:c>
      <x:c r="K42" s="10" t="str">
        <x:v>PENDING</x:v>
      </x:c>
      <x:c r="L42" s="10" t="str">
        <x:v>2024-09-26; interval 2024-01-01 to 2024-09-26</x:v>
      </x:c>
      <x:c r="M42" s="10" t="str">
        <x:v>None nominated beyond the supplied PDFs</x:v>
      </x:c>
      <x:c r="N42" s="10" t="str">
        <x:v>2024-09-26 frozen earlier-publicity candidate vs 2025-07-01 journal date</x:v>
      </x:c>
    </x:row>
    <x:row r="43" ht="116" customHeight="1">
      <x:c r="A43" s="12" t="str">
        <x:v>SAXO6</x:v>
      </x:c>
      <x:c r="B43" s="10" t="str">
        <x:v>Online vs issue date: Confirm the publication-history date rather than the March issue date, retaining the stable gene key for the former MDM1 name.</x:v>
      </x:c>
      <x:c r="C43" s="11" t="str">
        <x:v>PENDING</x:v>
      </x:c>
      <x:c r="D43" s="14"/>
      <x:c r="E43" s="11"/>
      <x:c r="F43" s="11"/>
      <x:c r="G43" s="14"/>
      <x:c r="H43" s="10" t="str">
        <x:v>Supplied PMID 41742423 p.15 lists publication 2026-02-24; the cover/issue and returned date are 2026-03-05.</x:v>
      </x:c>
      <x:c r="I43" s="10" t="str">
        <x:v>HGNC:29917</x:v>
      </x:c>
      <x:c r="J43" s="13" t="d">
        <x:v>2026-03-05T00:00:00.000Z</x:v>
      </x:c>
      <x:c r="K43" s="10" t="str">
        <x:v>PENDING</x:v>
      </x:c>
      <x:c r="L43" s="10" t="str">
        <x:v>2026-02-24; interval 2026-01-01 to 2026-02-24</x:v>
      </x:c>
      <x:c r="M43" s="10" t="str">
        <x:v>None nominated beyond the supplied PDFs</x:v>
      </x:c>
      <x:c r="N43" s="10" t="str">
        <x:v>2026-02-24 (publication history in supplied PDF)</x:v>
      </x:c>
    </x:row>
    <x:row r="44" ht="116" customHeight="1">
      <x:c r="A44" s="12" t="str">
        <x:v>SCNM1</x:v>
      </x:c>
      <x:c r="B44" s="10" t="str">
        <x:v>Online vs issue date: Confirm the first-public date and distinguish later follow-up evidence from initial discovery.</x:v>
      </x:c>
      <x:c r="C44" s="11" t="str">
        <x:v>PENDING</x:v>
      </x:c>
      <x:c r="D44" s="14"/>
      <x:c r="E44" s="11"/>
      <x:c r="F44" s="11"/>
      <x:c r="G44" s="14"/>
      <x:c r="H44" s="10" t="str">
        <x:v>Supplied PMID 36084634 lists publication 2022-09-08; the returned date is 2022-10-06. Additional nominated report 41291844 is not attached.</x:v>
      </x:c>
      <x:c r="I44" s="10" t="str">
        <x:v>HGNC:23136</x:v>
      </x:c>
      <x:c r="J44" s="13" t="d">
        <x:v>2022-10-06T00:00:00.000Z</x:v>
      </x:c>
      <x:c r="K44" s="10" t="str">
        <x:v>PENDING</x:v>
      </x:c>
      <x:c r="L44" s="10" t="str">
        <x:v>2022-09-08; interval 2022-01-01 to 2022-09-08</x:v>
      </x:c>
      <x:c r="M44" s="10" t="str">
        <x:v>41291844</x:v>
      </x:c>
      <x:c r="N44" s="10" t="str">
        <x:v>2022-09-08 (publication history in supplied PDF)</x:v>
      </x:c>
    </x:row>
    <x:row r="45" ht="116" customHeight="1">
      <x:c r="A45" s="12" t="str">
        <x:v>SLC66A1</x:v>
      </x:c>
      <x:c r="B45" s="10" t="str">
        <x:v>Replication route: Confirm the qualifying functional or independent new-family replication route for the retinal association.</x:v>
      </x:c>
      <x:c r="C45" s="11" t="str">
        <x:v>PENDING</x:v>
      </x:c>
      <x:c r="D45" s="14"/>
      <x:c r="E45" s="11"/>
      <x:c r="F45" s="11"/>
      <x:c r="G45" s="14"/>
      <x:c r="H45" s="10" t="str">
        <x:v>The return documents the original two retinal families in 35486108. The frozen screening also nominated 39669628, not attached. Its absence from this ZIP is an author-review coverage issue, not proof of absent replication.</x:v>
      </x:c>
      <x:c r="I45" s="10" t="str">
        <x:v>HGNC:26001</x:v>
      </x:c>
      <x:c r="J45" s="13" t="d">
        <x:v>2022-04-29T00:00:00.000Z</x:v>
      </x:c>
      <x:c r="K45" s="10" t="str">
        <x:v>PENDING</x:v>
      </x:c>
      <x:c r="L45" s="10" t="str">
        <x:v>2022-04-29; interval 2022-01-01 to 2022-04-29</x:v>
      </x:c>
      <x:c r="M45" s="10" t="str">
        <x:v>39669628</x:v>
      </x:c>
      <x:c r="N45" s="10" t="str">
        <x:v>2022-04-29; no numeric date mismatch detected</x:v>
      </x:c>
    </x:row>
    <x:row r="46" ht="116" customHeight="1">
      <x:c r="A46" s="12" t="str">
        <x:v>SPATA5L1</x:v>
      </x:c>
      <x:c r="B46" s="10" t="str">
        <x:v>Target-family count: Count the families with sensorineural hearing loss rather than all neurological families, and confirm the target-support route across the nominated reports.</x:v>
      </x:c>
      <x:c r="C46" s="11" t="str">
        <x:v>PENDING</x:v>
      </x:c>
      <x:c r="D46" s="14"/>
      <x:c r="E46" s="11"/>
      <x:c r="F46" s="11"/>
      <x:c r="G46" s="14"/>
      <x:c r="H46" s="10" t="str">
        <x:v>The returned note gives 47 individuals and 28 families (26 unrelated) for a multisystem syndrome. The frozen screening also nominated 37902276, not attached. A total syndrome cohort is not automatically the count with the relevant sensory finding.</x:v>
      </x:c>
      <x:c r="I46" s="10" t="str">
        <x:v>HGNC:28762</x:v>
      </x:c>
      <x:c r="J46" s="13" t="d">
        <x:v>2021-10-07T00:00:00.000Z</x:v>
      </x:c>
      <x:c r="K46" s="10" t="str">
        <x:v>PENDING</x:v>
      </x:c>
      <x:c r="L46" s="10" t="str">
        <x:v>2021-10-07; interval 2021-01-01 to 2021-10-07</x:v>
      </x:c>
      <x:c r="M46" s="10" t="str">
        <x:v>37902276</x:v>
      </x:c>
      <x:c r="N46" s="10" t="str">
        <x:v>2021-10-07; no numeric date mismatch detected</x:v>
      </x:c>
    </x:row>
    <x:row r="47" ht="116" customHeight="1">
      <x:c r="A47" s="12" t="str">
        <x:v>STX3</x:v>
      </x:c>
      <x:c r="B47" s="10" t="str">
        <x:v>Prior non-target association: Confirm that the 2014 microvillus-inclusion association is a prior non-target disease, while the first human retinal association is 2021-05-11.</x:v>
      </x:c>
      <x:c r="C47" s="11" t="str">
        <x:v>PENDING</x:v>
      </x:c>
      <x:c r="D47" s="14"/>
      <x:c r="E47" s="11"/>
      <x:c r="F47" s="11"/>
      <x:c r="G47" s="14"/>
      <x:c r="H47" s="10" t="str">
        <x:v>The returned note correctly points to the earlier intestinal disease. Category B allows an earlier non-target association; it does not automatically exclude a later first target association. Keep both dates and disease domains separate.</x:v>
      </x:c>
      <x:c r="I47" s="10" t="str">
        <x:v>HGNC:11438</x:v>
      </x:c>
      <x:c r="J47" s="10" t="str">
        <x:v>2021-05-11
Wiegerinck et al. (2014) 就有 report microvillus inclusion disease
https://doi. org/10.1053/j.gastro.2014.04.002</x:v>
      </x:c>
      <x:c r="K47" s="10" t="str">
        <x:v>PENDING</x:v>
      </x:c>
      <x:c r="L47" s="10" t="str">
        <x:v>2021-05-11; interval 2021-01-01 to 2021-05-11</x:v>
      </x:c>
      <x:c r="M47" s="10" t="str">
        <x:v>None nominated beyond the supplied PDFs</x:v>
      </x:c>
      <x:c r="N47" s="10" t="str">
        <x:v>2021-05-11 target date; 2014 is prior non-target disease context</x:v>
      </x:c>
    </x:row>
    <x:row r="48" ht="116" customHeight="1">
      <x:c r="A48" s="12" t="str">
        <x:v>TMEM72</x:v>
      </x:c>
      <x:c r="B48" s="10" t="str">
        <x:v>Target scope and earlier-publicity interval: Confirm relevant renal/ciliary families and the patient-cell functional route; separately adjudicate the early public thesis/conference timing.</x:v>
      </x:c>
      <x:c r="C48" s="11" t="str">
        <x:v>PENDING</x:v>
      </x:c>
      <x:c r="D48" s="14"/>
      <x:c r="E48" s="11"/>
      <x:c r="F48" s="11"/>
      <x:c r="G48" s="14"/>
      <x:c r="H48" s="10" t="str">
        <x:v>Supplied PMID 41308066 gives online publication 2025-11-27. The frozen protocol retained earlier timing bounded within 2021-01-01 to 2022-04-30. The raw row displays 2021-08-31, but the interval and source-publicity uncertainty must not be erased. The frozen rubric distinguishes five core NPHP-like families from another prenatal renal/neuro family and does not claim ciliary rescue.</x:v>
      </x:c>
      <x:c r="I48" s="10" t="str">
        <x:v>HGNC:31658</x:v>
      </x:c>
      <x:c r="J48" s="13" t="d">
        <x:v>2025-11-27T00:00:00.000Z</x:v>
      </x:c>
      <x:c r="K48" s="10" t="str">
        <x:v>PENDING</x:v>
      </x:c>
      <x:c r="L48" s="10" t="str">
        <x:v>2021-08-31; interval 2021-01-01 to 2022-04-30</x:v>
      </x:c>
      <x:c r="M48" s="10" t="str">
        <x:v>None nominated beyond the supplied PDFs</x:v>
      </x:c>
      <x:c r="N48" s="10" t="str">
        <x:v>Interval 2021-01-01 to 2022-04-30 pending earliest-publicity adjudication</x:v>
      </x:c>
    </x:row>
    <x:row r="49" ht="116" customHeight="1">
      <x:c r="A49" s="12" t="str">
        <x:v>TP73</x:v>
      </x:c>
      <x:c r="B49" s="10" t="str">
        <x:v>Online vs issue date: Confirm the June online date rather than the July issue date.</x:v>
      </x:c>
      <x:c r="C49" s="11" t="str">
        <x:v>PENDING</x:v>
      </x:c>
      <x:c r="D49" s="14"/>
      <x:c r="E49" s="11"/>
      <x:c r="F49" s="11"/>
      <x:c r="G49" s="14"/>
      <x:c r="H49" s="10" t="str">
        <x:v>Supplied PMID 34077761 p.11 lists publication 2021-06-01; the returned date is 2021-07-01.</x:v>
      </x:c>
      <x:c r="I49" s="10" t="str">
        <x:v>HGNC:12003</x:v>
      </x:c>
      <x:c r="J49" s="13" t="d">
        <x:v>2021-07-01T00:00:00.000Z</x:v>
      </x:c>
      <x:c r="K49" s="10" t="str">
        <x:v>PENDING</x:v>
      </x:c>
      <x:c r="L49" s="10" t="str">
        <x:v>2021-06-01; interval 2021-01-01 to 2021-06-01</x:v>
      </x:c>
      <x:c r="M49" s="10" t="str">
        <x:v>None nominated beyond the supplied PDFs</x:v>
      </x:c>
      <x:c r="N49" s="10" t="str">
        <x:v>2021-06-01 (publication history in supplied PDF)</x:v>
      </x:c>
    </x:row>
    <x:row r="50" ht="116" customHeight="1">
      <x:c r="A50" s="12" t="str">
        <x:v>UBAP1L</x:v>
      </x:c>
      <x:c r="B50" s="10" t="str">
        <x:v>Please explicitly decide whether the gene meets the target phenotype, unrelated-family, inheritance, functional/replication and post-cutoff rules. The returned eligibility cell is still PENDING.</x:v>
      </x:c>
      <x:c r="C50" s="11" t="str">
        <x:v>PENDING</x:v>
      </x:c>
      <x:c r="D50" s="14"/>
      <x:c r="E50" s="11"/>
      <x:c r="F50" s="11"/>
      <x:c r="G50" s="14"/>
      <x:c r="H50" s="10" t="str">
        <x:v>No additional targeted discrepancy was identified during this limited intake audit. This is not a certification that clinical eligibility or earliest-public timing has been fully independently verified.</x:v>
      </x:c>
      <x:c r="I50" s="10" t="str">
        <x:v>HGNC:40028</x:v>
      </x:c>
      <x:c r="J50" s="13" t="d">
        <x:v>2024-01-28T00:00:00.000Z</x:v>
      </x:c>
      <x:c r="K50" s="10" t="str">
        <x:v>PENDING</x:v>
      </x:c>
      <x:c r="L50" s="10" t="str">
        <x:v>2024-01-28; interval 2024-01-01 to 2024-01-28</x:v>
      </x:c>
      <x:c r="M50" s="10" t="str">
        <x:v>None nominated beyond the supplied PDFs</x:v>
      </x:c>
      <x:c r="N50" s="10" t="str">
        <x:v>2024-01-28</x:v>
      </x:c>
    </x:row>
    <x:row r="51" ht="116" customHeight="1">
      <x:c r="A51" s="12" t="str">
        <x:v>USP48</x:v>
      </x:c>
      <x:c r="B51" s="10" t="str">
        <x:v>Acceptance vs public date: Confirm advance access on 2021-05-31 rather than acceptance on 2021-05-25.</x:v>
      </x:c>
      <x:c r="C51" s="11" t="str">
        <x:v>PENDING</x:v>
      </x:c>
      <x:c r="D51" s="14"/>
      <x:c r="E51" s="11"/>
      <x:c r="F51" s="11"/>
      <x:c r="G51" s="14"/>
      <x:c r="H51" s="10" t="str">
        <x:v>Supplied PMID 34059922 p.1 gives advance-access publication 2021-05-31 and acceptance 2021-05-25. The returned date matches acceptance, which is not public-release evidence.</x:v>
      </x:c>
      <x:c r="I51" s="10" t="str">
        <x:v>HGNC:18533</x:v>
      </x:c>
      <x:c r="J51" s="13" t="d">
        <x:v>2021-05-25T00:00:00.000Z</x:v>
      </x:c>
      <x:c r="K51" s="10" t="str">
        <x:v>PENDING</x:v>
      </x:c>
      <x:c r="L51" s="10" t="str">
        <x:v>2021-05-31; interval 2021-01-01 to 2021-05-31</x:v>
      </x:c>
      <x:c r="M51" s="10" t="str">
        <x:v>None nominated beyond the supplied PDFs</x:v>
      </x:c>
      <x:c r="N51" s="10" t="str">
        <x:v>2021-05-31 (advance access in supplied PDF)</x:v>
      </x:c>
    </x:row>
    <x:row r="52" ht="116" customHeight="1">
      <x:c r="A52" s="12" t="str">
        <x:v>VWA8</x:v>
      </x:c>
      <x:c r="B52" s="10" t="str">
        <x:v>Different disease report: Review the retinal reports before deciding target eligibility; the attached 2021 developmental paper is a different, prior non-target association.</x:v>
      </x:c>
      <x:c r="C52" s="11" t="str">
        <x:v>PENDING</x:v>
      </x:c>
      <x:c r="D52" s="14"/>
      <x:c r="E52" s="11"/>
      <x:c r="F52" s="11"/>
      <x:c r="G52" s="14"/>
      <x:c r="H52" s="10" t="str">
        <x:v>Supplied PMID 34660594 describes one developmental-disorder family in 2021. The frozen target cohort instead relies on retinal PMIDs 37012052 (2023) and 40638000 (2025), neither attached. Do not replace the first TARGET date with the first ANY-disease date or infer a one-family target cohort from this attachment alone.</x:v>
      </x:c>
      <x:c r="I52" s="10" t="str">
        <x:v>HGNC:29071</x:v>
      </x:c>
      <x:c r="J52" s="13" t="d">
        <x:v>2021-10-01T00:00:00.000Z</x:v>
      </x:c>
      <x:c r="K52" s="10" t="str">
        <x:v>PENDING</x:v>
      </x:c>
      <x:c r="L52" s="10" t="str">
        <x:v>2023-04-03; interval 2023-01-01 to 2023-04-03</x:v>
      </x:c>
      <x:c r="M52" s="10" t="str">
        <x:v>37012052; 40638000</x:v>
      </x:c>
      <x:c r="N52" s="10" t="str">
        <x:v>2023-04-03 frozen retinal target candidate; 2021-10-01 is prior non-target disease</x:v>
      </x:c>
    </x:row>
    <x:row r="53" ht="116" customHeight="1">
      <x:c r="A53" s="12" t="str">
        <x:v>XXYLT1</x:v>
      </x:c>
      <x:c r="B53" s="10" t="str">
        <x:v>Please explicitly decide whether the gene meets the target phenotype, unrelated-family, inheritance, functional/replication and post-cutoff rules. The returned eligibility cell is still PENDING.</x:v>
      </x:c>
      <x:c r="C53" s="11" t="str">
        <x:v>PENDING</x:v>
      </x:c>
      <x:c r="D53" s="14"/>
      <x:c r="E53" s="11"/>
      <x:c r="F53" s="11"/>
      <x:c r="G53" s="14"/>
      <x:c r="H53" s="10" t="str">
        <x:v>No additional targeted discrepancy was identified during this limited intake audit. This is not a certification that clinical eligibility or earliest-public timing has been fully independently verified.</x:v>
      </x:c>
      <x:c r="I53" s="10" t="str">
        <x:v>HGNC:26639</x:v>
      </x:c>
      <x:c r="J53" s="13" t="d">
        <x:v>2026-07-30T00:00:00.000Z</x:v>
      </x:c>
      <x:c r="K53" s="10" t="str">
        <x:v>PENDING</x:v>
      </x:c>
      <x:c r="L53" s="10" t="str">
        <x:v>2026-07-30; interval 2026-01-01 to 2026-07-30</x:v>
      </x:c>
      <x:c r="M53" s="10" t="str">
        <x:v>None nominated beyond the supplied PDFs</x:v>
      </x:c>
      <x:c r="N53" s="10" t="str">
        <x:v>2026-07-30</x:v>
      </x:c>
    </x:row>
    <x:row r="54">
      <x:c r="A54" s="2"/>
      <x:c r="B54" s="2"/>
      <x:c r="C54" s="2"/>
      <x:c r="D54" s="2"/>
      <x:c r="E54" s="2"/>
      <x:c r="F54" s="2"/>
      <x:c r="G54" s="2"/>
      <x:c r="H54" s="2"/>
      <x:c r="I54" s="2"/>
      <x:c r="J54" s="2"/>
      <x:c r="K54" s="2"/>
      <x:c r="L54" s="2"/>
      <x:c r="M54" s="2"/>
      <x:c r="N54" s="2"/>
    </x:row>
    <x:row r="55">
      <x:c r="A55" s="2"/>
      <x:c r="B55" s="2"/>
      <x:c r="C55" s="2"/>
      <x:c r="D55" s="2"/>
      <x:c r="E55" s="2"/>
      <x:c r="F55" s="2"/>
      <x:c r="G55" s="2"/>
      <x:c r="H55" s="2"/>
      <x:c r="I55" s="2"/>
      <x:c r="J55" s="2"/>
      <x:c r="K55" s="2"/>
      <x:c r="L55" s="2"/>
      <x:c r="M55" s="2"/>
      <x:c r="N55" s="2"/>
    </x:row>
  </x:sheetData>
  <x:conditionalFormatting sqref="C9:C53">
    <x:cfRule type="containsText" dxfId="0" priority="1" operator="containsText" text="UNCERTAIN"/>
  </x:conditionalFormatting>
  <x:dataValidations count="1">
    <x:dataValidation type="list" sqref="C9:C53">
      <x:formula1>"PENDING,INCLUDE,EXCLUDE,UNCERTAIN"</x:formula1>
    </x:dataValidation>
  </x:dataValidations>
  <x:pageMargins left="0.7" right="0.7" top="0.75" bottom="0.75" header="0.3" footer="0.3"/>
  <x:tableParts count="1">
    <x:tablePart xmlns:r="http://schemas.openxmlformats.org/officeDocument/2006/relationships" r:id="R7f767f3c401f404f"/>
  </x:tableParts>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0" hidden="0" customWidth="1"/>
    <x:col min="2" max="2" width="22" hidden="0" customWidth="1"/>
    <x:col min="3" max="3" width="22" hidden="0" customWidth="1"/>
    <x:col min="4" max="4" width="24" hidden="0" customWidth="1"/>
    <x:col min="5" max="5" width="20" hidden="0" customWidth="1"/>
    <x:col min="6" max="6" width="18" hidden="0" customWidth="1"/>
    <x:col min="7" max="7" width="40" hidden="0" customWidth="1"/>
    <x:col min="8" max="8" width="62" hidden="0" customWidth="1"/>
    <x:col min="9" max="9" width="68" hidden="0" customWidth="1"/>
    <x:col min="10" max="10" width="22" hidden="0" customWidth="1"/>
    <x:col min="11" max="11" width="22" hidden="0" customWidth="1"/>
  </x:cols>
  <x:sheetData>
    <x:row r="1" ht="72" customHeight="1">
      <x:c r="A1" s="9" t="str">
        <x:v>Gene symbol as returned</x:v>
      </x:c>
      <x:c r="B1" s="9" t="str">
        <x:v>Stable HGNC gene key</x:v>
      </x:c>
      <x:c r="C1" s="9" t="str">
        <x:v>Eligibility decision as returned</x:v>
      </x:c>
      <x:c r="D1" s="9" t="str">
        <x:v>Date decision as returned</x:v>
      </x:c>
      <x:c r="E1" s="9" t="str">
        <x:v>Reviewer as returned</x:v>
      </x:c>
      <x:c r="F1" s="9" t="str">
        <x:v>Review date as returned</x:v>
      </x:c>
      <x:c r="G1" s="9" t="str">
        <x:v>Association-date entry as returned</x:v>
      </x:c>
      <x:c r="H1" s="9" t="str">
        <x:v>Notes as returned</x:v>
      </x:c>
      <x:c r="I1" s="9" t="str">
        <x:v>Genotype / inheritance notes as returned</x:v>
      </x:c>
      <x:c r="J1" s="9" t="str">
        <x:v>AI date displayed in original workbook</x:v>
      </x:c>
      <x:c r="K1" s="9" t="str">
        <x:v>AI novelty category displayed in original workbook</x:v>
      </x:c>
    </x:row>
    <x:row r="2" ht="108" customHeight="1">
      <x:c r="A2" s="10" t="str">
        <x:v>AP5B1</x:v>
      </x:c>
      <x:c r="B2" s="10" t="str">
        <x:v>HGNC:25104</x:v>
      </x:c>
      <x:c r="C2" s="10" t="str">
        <x:v>PENDING</x:v>
      </x:c>
      <x:c r="D2" s="10" t="str">
        <x:v>CONFIRMED</x:v>
      </x:c>
      <x:c r="E2" s="10" t="str">
        <x:v>YHC</x:v>
      </x:c>
      <x:c r="F2" s="13" t="d">
        <x:v>2026-10-13T00:00:00.000Z</x:v>
      </x:c>
      <x:c r="G2" s="13" t="d">
        <x:v>2025-04-03T00:00:00.000Z</x:v>
      </x:c>
      <x:c r="H2" s="10" t="str">
        <x:v>(Kaminska, 2025) PMID 40081374 
Figure 1. (p812)
Table 1.  (p.815)
Figure 3. (p.817)</x:v>
      </x:c>
      <x:c r="I2" s="10" t="str">
        <x:v>macular dystrophy
2 independent families (family 18 and 19) 
AR, HomX1 ; Comp. hets X1</x:v>
      </x:c>
      <x:c r="J2" s="13" t="d">
        <x:v>2025-03-12T00:00:00.000Z</x:v>
      </x:c>
      <x:c r="K2" s="10" t="str">
        <x:v>A</x:v>
      </x:c>
    </x:row>
    <x:row r="3" ht="108" customHeight="1">
      <x:c r="A3" s="10" t="str">
        <x:v>ATP11A</x:v>
      </x:c>
      <x:c r="B3" s="10" t="str">
        <x:v>HGNC:13552</x:v>
      </x:c>
      <x:c r="C3" s="10" t="str">
        <x:v>PENDING</x:v>
      </x:c>
      <x:c r="D3" s="10" t="str">
        <x:v>REVISED</x:v>
      </x:c>
      <x:c r="E3" s="10" t="str">
        <x:v>YHC</x:v>
      </x:c>
      <x:c r="F3" s="13" t="d">
        <x:v>2026-10-17T00:00:00.000Z</x:v>
      </x:c>
      <x:c r="G3" s="13" t="d">
        <x:v>2022-03-12T00:00:00.000Z</x:v>
      </x:c>
      <x:c r="H3" s="10" t="str">
        <x:v>Figure 2, 4, 5, 6</x:v>
      </x:c>
      <x:c r="I3" s="10" t="str">
        <x:v>dominant non‑syndromic hearing loss
4 independent families
AD</x:v>
      </x:c>
      <x:c r="J3" s="13" t="d">
        <x:v>2021-05-28T00:00:00.000Z</x:v>
      </x:c>
      <x:c r="K3" s="10" t="str">
        <x:v>A</x:v>
      </x:c>
    </x:row>
    <x:row r="4" ht="108" customHeight="1">
      <x:c r="A4" s="10" t="str">
        <x:v>BRWD1</x:v>
      </x:c>
      <x:c r="B4" s="10" t="str">
        <x:v>HGNC:12760</x:v>
      </x:c>
      <x:c r="C4" s="10" t="str">
        <x:v>PENDING</x:v>
      </x:c>
      <x:c r="D4" s="10" t="str">
        <x:v>CONFIRMED</x:v>
      </x:c>
      <x:c r="E4" s="10" t="str">
        <x:v>YHC</x:v>
      </x:c>
      <x:c r="F4" s="13" t="d">
        <x:v>2026-10-17T00:00:00.000Z</x:v>
      </x:c>
      <x:c r="G4" s="13" t="d">
        <x:v>2021-01-03T00:00:00.000Z</x:v>
      </x:c>
      <x:c r="H4" s="10" t="str">
        <x:v>Figrue 1; Table 2</x:v>
      </x:c>
      <x:c r="I4" s="10" t="str">
        <x:v>3 unrealted failies
asthenoteratozoospermia
AD</x:v>
      </x:c>
      <x:c r="J4" s="13" t="d">
        <x:v>2021-01-03T00:00:00.000Z</x:v>
      </x:c>
      <x:c r="K4" s="10" t="str">
        <x:v>A</x:v>
      </x:c>
    </x:row>
    <x:row r="5" ht="108" customHeight="1">
      <x:c r="A5" s="10" t="str">
        <x:v>C19orf44</x:v>
      </x:c>
      <x:c r="B5" s="10" t="str">
        <x:v>HGNC:26141</x:v>
      </x:c>
      <x:c r="C5" s="10" t="str">
        <x:v>PENDING</x:v>
      </x:c>
      <x:c r="D5" s="10" t="str">
        <x:v>CONFIRMED</x:v>
      </x:c>
      <x:c r="E5" s="10" t="str">
        <x:v>YHC</x:v>
      </x:c>
      <x:c r="F5" s="13" t="d">
        <x:v>2026-10-17T00:00:00.000Z</x:v>
      </x:c>
      <x:c r="G5" s="13" t="d">
        <x:v>2025-03-10T00:00:00.000Z</x:v>
      </x:c>
      <x:c r="H5" s="10" t="str">
        <x:v>Figure 1; Table 1</x:v>
      </x:c>
      <x:c r="I5" s="10" t="str">
        <x:v>retinal dystrophy
4 different pathogenic variants  in 15 biallelic individuals from 11 unrelated families.
AR</x:v>
      </x:c>
      <x:c r="J5" s="13" t="d">
        <x:v>2025-03-10T00:00:00.000Z</x:v>
      </x:c>
      <x:c r="K5" s="10" t="str">
        <x:v>A</x:v>
      </x:c>
    </x:row>
    <x:row r="6" ht="108" customHeight="1">
      <x:c r="A6" s="10" t="str">
        <x:v>CEP76</x:v>
      </x:c>
      <x:c r="B6" s="10" t="str">
        <x:v>HGNC:25727</x:v>
      </x:c>
      <x:c r="C6" s="10" t="str">
        <x:v>PENDING</x:v>
      </x:c>
      <x:c r="D6" s="10" t="str">
        <x:v>CONFIRMED</x:v>
      </x:c>
      <x:c r="E6" s="10" t="str">
        <x:v>YHC</x:v>
      </x:c>
      <x:c r="F6" s="13" t="d">
        <x:v>2026-10-17T00:00:00.000Z</x:v>
      </x:c>
      <x:c r="G6" s="13" t="d">
        <x:v>2025-10-17T00:00:00.000Z</x:v>
      </x:c>
      <x:c r="H6" s="10" t="str">
        <x:v>Figure 1; Table 1; Table 2</x:v>
      </x:c>
      <x:c r="I6" s="10" t="str">
        <x:v>spectrum of ciliopathies
13 different pathogenic variant in 8 biallelic individuals from 8 unrealtd families
AR</x:v>
      </x:c>
      <x:c r="J6" s="13" t="d">
        <x:v>2025-10-17T00:00:00.000Z</x:v>
      </x:c>
      <x:c r="K6" s="10" t="str">
        <x:v>A</x:v>
      </x:c>
    </x:row>
    <x:row r="7" ht="108" customHeight="1">
      <x:c r="A7" s="10" t="str">
        <x:v>CFAP54</x:v>
      </x:c>
      <x:c r="B7" s="10" t="str">
        <x:v>HGNC:26456</x:v>
      </x:c>
      <x:c r="C7" s="10" t="str">
        <x:v>PENDING</x:v>
      </x:c>
      <x:c r="D7" s="10" t="str">
        <x:v>CONFIRMED</x:v>
      </x:c>
      <x:c r="E7" s="10" t="str">
        <x:v>YHC</x:v>
      </x:c>
      <x:c r="F7" s="13" t="d">
        <x:v>2026-10-17T00:00:00.000Z</x:v>
      </x:c>
      <x:c r="G7" s="13" t="d">
        <x:v>2023-09-19T00:00:00.000Z</x:v>
      </x:c>
      <x:c r="H7" s="10" t="str">
        <x:v>Figure1, Figure 3, Figure 6</x:v>
      </x:c>
      <x:c r="I7" s="10" t="str">
        <x:v>primary ciliary dyskinesia
4 different pathogenic variants in 2 ballelic  individuals from 2 unrelated failies
1 mouse hom KI 
AR</x:v>
      </x:c>
      <x:c r="J7" s="13" t="d">
        <x:v>2023-09-19T00:00:00.000Z</x:v>
      </x:c>
      <x:c r="K7" s="10" t="str">
        <x:v>A</x:v>
      </x:c>
    </x:row>
    <x:row r="8" ht="108" customHeight="1">
      <x:c r="A8" s="10" t="str">
        <x:v>CLEC3B</x:v>
      </x:c>
      <x:c r="B8" s="10" t="str">
        <x:v>HGNC:11891</x:v>
      </x:c>
      <x:c r="C8" s="10" t="str">
        <x:v>PENDING</x:v>
      </x:c>
      <x:c r="D8" s="10" t="str">
        <x:v>CONFIRMED</x:v>
      </x:c>
      <x:c r="E8" s="10" t="str">
        <x:v>YHC</x:v>
      </x:c>
      <x:c r="F8" s="13" t="d">
        <x:v>2026-10-17T00:00:00.000Z</x:v>
      </x:c>
      <x:c r="G8" s="13" t="d">
        <x:v>2022-03-22T00:00:00.000Z</x:v>
      </x:c>
      <x:c r="H8" s="10" t="str">
        <x:v>Figure 1</x:v>
      </x:c>
      <x:c r="I8" s="10" t="str">
        <x:v>macular-retinal dystrophy
1 pathogenic variants, 12 affected in dividual from 5 multigenerational families in a small village in Miyazaki, JP
1 AAV Tg mouse
AD</x:v>
      </x:c>
      <x:c r="J8" s="13" t="d">
        <x:v>2022-03-22T00:00:00.000Z</x:v>
      </x:c>
      <x:c r="K8" s="10" t="str">
        <x:v>A</x:v>
      </x:c>
    </x:row>
    <x:row r="9" ht="108" customHeight="1">
      <x:c r="A9" s="10" t="str">
        <x:v>COQ5</x:v>
      </x:c>
      <x:c r="B9" s="10" t="str">
        <x:v>HGNC:28722</x:v>
      </x:c>
      <x:c r="C9" s="10" t="str">
        <x:v>PENDING</x:v>
      </x:c>
      <x:c r="D9" s="10" t="str">
        <x:v>CONFIRMED</x:v>
      </x:c>
      <x:c r="E9" s="10" t="str">
        <x:v>YHC</x:v>
      </x:c>
      <x:c r="F9" s="13" t="d">
        <x:v>2026-10-17T00:00:00.000Z</x:v>
      </x:c>
      <x:c r="G9" s="13" t="d">
        <x:v>2022-10-20T00:00:00.000Z</x:v>
      </x:c>
      <x:c r="H9" s="10" t="str">
        <x:v>Figure1, Figure 4, Table 1</x:v>
      </x:c>
      <x:c r="I9" s="10" t="str">
        <x:v>retinitis pigmentosa
3 pathogenic variants, 2 affected individuals from 2 families
AR
</x:v>
      </x:c>
      <x:c r="J9" s="13" t="d">
        <x:v>2022-10-20T00:00:00.000Z</x:v>
      </x:c>
      <x:c r="K9" s="10" t="str">
        <x:v>B</x:v>
      </x:c>
    </x:row>
    <x:row r="10" ht="108" customHeight="1">
      <x:c r="A10" s="10" t="str">
        <x:v>CREB3</x:v>
      </x:c>
      <x:c r="B10" s="10" t="str">
        <x:v>HGNC:2347</x:v>
      </x:c>
      <x:c r="C10" s="10" t="str">
        <x:v>PENDING</x:v>
      </x:c>
      <x:c r="D10" s="10" t="str">
        <x:v>REVISED</x:v>
      </x:c>
      <x:c r="E10" s="10" t="str">
        <x:v>YHC</x:v>
      </x:c>
      <x:c r="F10" s="13" t="d">
        <x:v>2026-10-17T00:00:00.000Z</x:v>
      </x:c>
      <x:c r="G10" s="13" t="d">
        <x:v>2025-07-17T00:00:00.000Z</x:v>
      </x:c>
      <x:c r="H10" s="10" t="str">
        <x:v>Figure 1; Table 1</x:v>
      </x:c>
      <x:c r="I10" s="10" t="str">
        <x:v>inherited retinal diseases
A founder homozygous nonsense variant in CREB3 (c.881G&gt;A, p.Trp294*) was identiﬁed in 13 patients from 4 unrelated familie
</x:v>
      </x:c>
      <x:c r="J10" s="13" t="d">
        <x:v>2024-05-01T00:00:00.000Z</x:v>
      </x:c>
      <x:c r="K10" s="10" t="str">
        <x:v>A</x:v>
      </x:c>
    </x:row>
    <x:row r="11" ht="108" customHeight="1">
      <x:c r="A11" s="10" t="str">
        <x:v>CRLS1</x:v>
      </x:c>
      <x:c r="B11" s="10" t="str">
        <x:v>HGNC:16148</x:v>
      </x:c>
      <x:c r="C11" s="10" t="str">
        <x:v>PENDING</x:v>
      </x:c>
      <x:c r="D11" s="10" t="str">
        <x:v>REVISED</x:v>
      </x:c>
      <x:c r="E11" s="10" t="str">
        <x:v>YHC</x:v>
      </x:c>
      <x:c r="F11" s="13" t="d">
        <x:v>2026-10-17T00:00:00.000Z</x:v>
      </x:c>
      <x:c r="G11" s="10" t="str">
        <x:v>2022-02-06 accpeted
2022-10-08 published</x:v>
      </x:c>
      <x:c r="H11" s="10" t="str">
        <x:v>Figure 1</x:v>
      </x:c>
      <x:c r="I11" s="10" t="str">
        <x:v>multi-system mitochondrial disease
3 pathogenic variants, 4 affected individuals, 3 families
AR</x:v>
      </x:c>
      <x:c r="J11" s="13" t="d">
        <x:v>2022-02-11T00:00:00.000Z</x:v>
      </x:c>
      <x:c r="K11" s="10" t="str">
        <x:v>A</x:v>
      </x:c>
    </x:row>
    <x:row r="12" ht="108" customHeight="1">
      <x:c r="A12" s="10" t="str">
        <x:v>CTNND1</x:v>
      </x:c>
      <x:c r="B12" s="10" t="str">
        <x:v>HGNC:2515</x:v>
      </x:c>
      <x:c r="C12" s="10" t="str">
        <x:v>PENDING</x:v>
      </x:c>
      <x:c r="D12" s="10" t="str">
        <x:v>PENDING</x:v>
      </x:c>
      <x:c r="E12" s="10" t="str">
        <x:v>YHC</x:v>
      </x:c>
      <x:c r="F12" s="13" t="d">
        <x:v>2026-10-17T00:00:00.000Z</x:v>
      </x:c>
      <x:c r="G12" s="13" t="d">
        <x:v>2022-07-22T00:00:00.000Z</x:v>
      </x:c>
      <x:c r="H12" s="10" t="str">
        <x:v>Figrue1</x:v>
      </x:c>
      <x:c r="I12" s="10" t="str">
        <x:v>familial exudative vitreoretinopathy
3 pathogenic variants, 7 individualts from 3 families
1 Ctnnd1 iECKO/iECKO mice  
AD</x:v>
      </x:c>
      <x:c r="J12" s="13" t="d">
        <x:v>2022-06-14T00:00:00.000Z</x:v>
      </x:c>
      <x:c r="K12" s="10" t="str">
        <x:v>B</x:v>
      </x:c>
    </x:row>
    <x:row r="13" ht="108" customHeight="1">
      <x:c r="A13" s="10" t="str">
        <x:v>DHRSX</x:v>
      </x:c>
      <x:c r="B13" s="10" t="str">
        <x:v>HGNC:18399</x:v>
      </x:c>
      <x:c r="C13" s="10" t="str">
        <x:v>PENDING</x:v>
      </x:c>
      <x:c r="D13" s="10" t="str">
        <x:v>CONFIRMED</x:v>
      </x:c>
      <x:c r="E13" s="10" t="str">
        <x:v>YHC</x:v>
      </x:c>
      <x:c r="F13" s="13" t="d">
        <x:v>2026-10-17T00:00:00.000Z</x:v>
      </x:c>
      <x:c r="G13" s="10" t="str">
        <x:v>Epub 2024-05-30
Pub 2024-07-11</x:v>
      </x:c>
      <x:c r="H13" s="10" t="str">
        <x:v>Figure 1; Table 1</x:v>
      </x:c>
      <x:c r="I13" s="10" t="str">
        <x:v>glycosylation (distinct facial features, severe neurological involvement including hypotonia, scoliosis, contractures, profound intellectual disability, epilepsy, and sensorineural hearing loss.)
3 pathogenic variants, 4 individualts from 3 families
pseudoautosomal-recessive</x:v>
      </x:c>
      <x:c r="J13" s="13" t="d">
        <x:v>2024-05-30T00:00:00.000Z</x:v>
      </x:c>
      <x:c r="K13" s="10" t="str">
        <x:v>A</x:v>
      </x:c>
    </x:row>
    <x:row r="14" ht="108" customHeight="1">
      <x:c r="A14" s="10" t="str">
        <x:v>DNAJC30</x:v>
      </x:c>
      <x:c r="B14" s="10" t="str">
        <x:v>HGNC:16410</x:v>
      </x:c>
      <x:c r="C14" s="10" t="str">
        <x:v>PENDING</x:v>
      </x:c>
      <x:c r="D14" s="10" t="str">
        <x:v>REVISED</x:v>
      </x:c>
      <x:c r="E14" s="10" t="str">
        <x:v>YHC</x:v>
      </x:c>
      <x:c r="F14" s="13" t="d">
        <x:v>2026-10-17T00:00:00.000Z</x:v>
      </x:c>
      <x:c r="G14" s="10" t="str">
        <x:v>Accepter 2021-01-14
published: 2021-3-15</x:v>
      </x:c>
      <x:c r="H14" s="10" t="str">
        <x:v>Figure 1</x:v>
      </x:c>
      <x:c r="I14" s="10" t="str">
        <x:v>Leber’s hereditary optic neuropathy
3 pathogenic variants, 30 symptomatic carriers male predominance (5 hom females non-symptomatic indicated incomplete penetrance,) from 29  families
AR</x:v>
      </x:c>
      <x:c r="J14" s="13" t="d">
        <x:v>2021-01-19T00:00:00.000Z</x:v>
      </x:c>
      <x:c r="K14" s="10" t="str">
        <x:v>A</x:v>
      </x:c>
    </x:row>
    <x:row r="15" ht="108" customHeight="1">
      <x:c r="A15" s="10" t="str">
        <x:v>EFCAB1</x:v>
      </x:c>
      <x:c r="B15" s="10" t="str">
        <x:v>HGNC:25678</x:v>
      </x:c>
      <x:c r="C15" s="10" t="str">
        <x:v>PENDING</x:v>
      </x:c>
      <x:c r="D15" s="10" t="str">
        <x:v>CONFIRMED</x:v>
      </x:c>
      <x:c r="E15" s="10" t="str">
        <x:v>YHC</x:v>
      </x:c>
      <x:c r="F15" s="13" t="d">
        <x:v>2026-10-17T00:00:00.000Z</x:v>
      </x:c>
      <x:c r="G15" s="13" t="d">
        <x:v>2023-01-31T00:00:00.000Z</x:v>
      </x:c>
      <x:c r="H15" s="10" t="str">
        <x:v>Figure 1</x:v>
      </x:c>
      <x:c r="I15" s="10" t="str">
        <x:v>primary ciliary dyskinesia
3 pathogenic variants, 3 individualts from 3 families
AR</x:v>
      </x:c>
      <x:c r="J15" s="13" t="d">
        <x:v>2023-01-31T00:00:00.000Z</x:v>
      </x:c>
      <x:c r="K15" s="10" t="str">
        <x:v>A</x:v>
      </x:c>
    </x:row>
    <x:row r="16" ht="108" customHeight="1">
      <x:c r="A16" s="10" t="str">
        <x:v>FSD1L</x:v>
      </x:c>
      <x:c r="B16" s="10" t="str">
        <x:v>HGNC:13753</x:v>
      </x:c>
      <x:c r="C16" s="10" t="str">
        <x:v>PENDING</x:v>
      </x:c>
      <x:c r="D16" s="10" t="str">
        <x:v>REVISED</x:v>
      </x:c>
      <x:c r="E16" s="10" t="str">
        <x:v>YHC</x:v>
      </x:c>
      <x:c r="F16" s="13" t="d">
        <x:v>2026-10-17T00:00:00.000Z</x:v>
      </x:c>
      <x:c r="G16" s="13" t="d">
        <x:v>2026-03-05T00:00:00.000Z</x:v>
      </x:c>
      <x:c r="H16" s="10" t="str">
        <x:v>Figure 1</x:v>
      </x:c>
      <x:c r="I16" s="10" t="str">
        <x:v>neurodevelopmental disorder
7 pathogenic variants, 14 individualts from 6families
AR</x:v>
      </x:c>
      <x:c r="J16" s="13" t="d">
        <x:v>2026-02-19T00:00:00.000Z</x:v>
      </x:c>
      <x:c r="K16" s="10" t="str">
        <x:v>A</x:v>
      </x:c>
    </x:row>
    <x:row r="17" ht="108" customHeight="1">
      <x:c r="A17" s="10" t="str">
        <x:v>GPATCH11</x:v>
      </x:c>
      <x:c r="B17" s="10" t="str">
        <x:v>HGNC:26768</x:v>
      </x:c>
      <x:c r="C17" s="10" t="str">
        <x:v>PENDING</x:v>
      </x:c>
      <x:c r="D17" s="10" t="str">
        <x:v>REVISED</x:v>
      </x:c>
      <x:c r="E17" s="10" t="str">
        <x:v>YHC</x:v>
      </x:c>
      <x:c r="F17" s="13" t="d">
        <x:v>2026-10-17T00:00:00.000Z</x:v>
      </x:c>
      <x:c r="G17" s="10" t="str">
        <x:v>received 2023-10-09
Accepted 2024-11-13
Published online 2024-11-21</x:v>
      </x:c>
      <x:c r="H17" s="10" t="str">
        <x:v>Figure 1</x:v>
      </x:c>
      <x:c r="I17" s="10" t="str">
        <x:v>retinal dystrophy with neurological impairment
4 pathogenic variants, 12 individualts from 6 families
AR</x:v>
      </x:c>
      <x:c r="J17" s="13" t="d">
        <x:v>2023-08-21T00:00:00.000Z</x:v>
      </x:c>
      <x:c r="K17" s="10" t="str">
        <x:v>A</x:v>
      </x:c>
    </x:row>
    <x:row r="18" ht="108" customHeight="1">
      <x:c r="A18" s="10" t="str">
        <x:v>GPR156</x:v>
      </x:c>
      <x:c r="B18" s="10" t="str">
        <x:v>HGNC:20844</x:v>
      </x:c>
      <x:c r="C18" s="10" t="str">
        <x:v>PENDING</x:v>
      </x:c>
      <x:c r="D18" s="10" t="str">
        <x:v>CONFIRMED</x:v>
      </x:c>
      <x:c r="E18" s="10" t="str">
        <x:v>YHC</x:v>
      </x:c>
      <x:c r="F18" s="13" t="d">
        <x:v>2026-10-17T00:00:00.000Z</x:v>
      </x:c>
      <x:c r="G18" s="13" t="d">
        <x:v>2023-03-16T00:00:00.000Z</x:v>
      </x:c>
      <x:c r="H18" s="10" t="str">
        <x:v>Table 1; Figure 4</x:v>
      </x:c>
      <x:c r="I18" s="10" t="str">
        <x:v>nonsyndromic bilateral sensorineural hearing loss
3 pathogenic variants, 8 individualts from 3 families
AR</x:v>
      </x:c>
      <x:c r="J18" s="13" t="d">
        <x:v>2023-03-16T00:00:00.000Z</x:v>
      </x:c>
      <x:c r="K18" s="10" t="str">
        <x:v>A</x:v>
      </x:c>
    </x:row>
    <x:row r="19" ht="108" customHeight="1">
      <x:c r="A19" s="10" t="str">
        <x:v>IDH3G</x:v>
      </x:c>
      <x:c r="B19" s="10" t="str">
        <x:v>HGNC:5386</x:v>
      </x:c>
      <x:c r="C19" s="10" t="str">
        <x:v>PENDING</x:v>
      </x:c>
      <x:c r="D19" s="10" t="str">
        <x:v>PENDING</x:v>
      </x:c>
      <x:c r="E19" s="10" t="str">
        <x:v>YHC</x:v>
      </x:c>
      <x:c r="F19" s="13" t="d">
        <x:v>2026-10-17T00:00:00.000Z</x:v>
      </x:c>
      <x:c r="G19" s="13" t="d">
        <x:v>2025-03-19T00:00:00.000Z</x:v>
      </x:c>
      <x:c r="H19" s="10" t="str">
        <x:v>Figure 1; Table 1</x:v>
      </x:c>
      <x:c r="I19" s="10" t="str">
        <x:v>X-linked retinitis pigmentosa
5 pathogenic variants, 5 individualts from 5 families
XLR</x:v>
      </x:c>
      <x:c r="J19" s="13" t="d">
        <x:v>2025-03-19T00:00:00.000Z</x:v>
      </x:c>
      <x:c r="K19" s="10" t="str">
        <x:v>A</x:v>
      </x:c>
    </x:row>
    <x:row r="20" ht="108" customHeight="1">
      <x:c r="A20" s="10" t="str">
        <x:v>INTS11</x:v>
      </x:c>
      <x:c r="B20" s="10" t="str">
        <x:v>HGNC:26052</x:v>
      </x:c>
      <x:c r="C20" s="10" t="str">
        <x:v>PENDING</x:v>
      </x:c>
      <x:c r="D20" s="10" t="str">
        <x:v>PENDING</x:v>
      </x:c>
      <x:c r="E20" s="10" t="str">
        <x:v>YHC</x:v>
      </x:c>
      <x:c r="F20" s="13" t="d">
        <x:v>2026-10-17T00:00:00.000Z</x:v>
      </x:c>
      <x:c r="G20" s="10" t="str">
        <x:v>Epub 2023-04-12
pub 2023-05-04</x:v>
      </x:c>
      <x:c r="H20" s="10" t="str">
        <x:v>Table 1; Figure 1</x:v>
      </x:c>
      <x:c r="I20" s="10" t="str">
        <x:v>complex neurological disorder
18 pathogenic variants, 15 individualts from 10 families
AR</x:v>
      </x:c>
      <x:c r="J20" s="13" t="d">
        <x:v>2023-04-12T00:00:00.000Z</x:v>
      </x:c>
      <x:c r="K20" s="10" t="str">
        <x:v>A</x:v>
      </x:c>
    </x:row>
    <x:row r="21" ht="108" customHeight="1">
      <x:c r="A21" s="10" t="str">
        <x:v>KCNJ16</x:v>
      </x:c>
      <x:c r="B21" s="10" t="str">
        <x:v>HGNC:6262</x:v>
      </x:c>
      <x:c r="C21" s="10" t="str">
        <x:v>PENDING</x:v>
      </x:c>
      <x:c r="D21" s="10" t="str">
        <x:v>PENDING</x:v>
      </x:c>
      <x:c r="E21" s="10" t="str">
        <x:v>YHC</x:v>
      </x:c>
      <x:c r="F21" s="13" t="d">
        <x:v>2026-10-17T00:00:00.000Z</x:v>
      </x:c>
      <x:c r="G21" s="10" t="str">
        <x:v>Epub 2021-04-02
pub 2021-06-01</x:v>
      </x:c>
      <x:c r="H21" s="10" t="str">
        <x:v>Figure 1</x:v>
      </x:c>
      <x:c r="I21" s="10" t="str">
        <x:v>hypokalemic tubulopathy with renal salt wasting, disturbed acid-base homeostasis, and sensorineural deafness.
6  pathogenic variants, 8 individualts from 6 families
AR</x:v>
      </x:c>
      <x:c r="J21" s="13" t="d">
        <x:v>2021-04-02T00:00:00.000Z</x:v>
      </x:c>
      <x:c r="K21" s="10" t="str">
        <x:v>A</x:v>
      </x:c>
    </x:row>
    <x:row r="22" ht="108" customHeight="1">
      <x:c r="A22" s="10" t="str">
        <x:v>KIAA1024L</x:v>
      </x:c>
      <x:c r="B22" s="10" t="str">
        <x:v>HGNC:33914</x:v>
      </x:c>
      <x:c r="C22" s="10" t="str">
        <x:v>PENDING</x:v>
      </x:c>
      <x:c r="D22" s="10" t="str">
        <x:v>PENDING</x:v>
      </x:c>
      <x:c r="E22" s="10" t="str">
        <x:v>YHC</x:v>
      </x:c>
      <x:c r="F22" s="13" t="d">
        <x:v>2026-10-17T00:00:00.000Z</x:v>
      </x:c>
      <x:c r="G22" s="13" t="d">
        <x:v>2022-06-21T00:00:00.000Z</x:v>
      </x:c>
      <x:c r="H22" s="10" t="str">
        <x:v>Figure 1</x:v>
      </x:c>
      <x:c r="I22" s="10" t="str">
        <x:v>deafness
3  pathogenic variants, 13 individualts from 4 families
1  KO mice
AR</x:v>
      </x:c>
      <x:c r="J22" s="13" t="d">
        <x:v>2022-06-21T00:00:00.000Z</x:v>
      </x:c>
      <x:c r="K22" s="10" t="str">
        <x:v>A</x:v>
      </x:c>
    </x:row>
    <x:row r="23" ht="108" customHeight="1">
      <x:c r="A23" s="10" t="str">
        <x:v>LIG3</x:v>
      </x:c>
      <x:c r="B23" s="10" t="str">
        <x:v>HGNC:6600</x:v>
      </x:c>
      <x:c r="C23" s="10" t="str">
        <x:v>PENDING</x:v>
      </x:c>
      <x:c r="D23" s="10" t="str">
        <x:v>PENDING</x:v>
      </x:c>
      <x:c r="E23" s="10" t="str">
        <x:v>YHC</x:v>
      </x:c>
      <x:c r="F23" s="13" t="d">
        <x:v>2026-10-17T00:00:00.000Z</x:v>
      </x:c>
      <x:c r="G23" s="13" t="d">
        <x:v>2021-06-22T00:00:00.000Z</x:v>
      </x:c>
      <x:c r="H23" s="10" t="str">
        <x:v>Figure 1</x:v>
      </x:c>
      <x:c r="I23" s="10" t="str">
        <x:v>neurogastrointestinal encephalomyopathy
6 pathogenic variants, 7 individualts from 3 families
AR</x:v>
      </x:c>
      <x:c r="J23" s="13" t="d">
        <x:v>2021-04-15T00:00:00.000Z</x:v>
      </x:c>
      <x:c r="K23" s="10" t="str">
        <x:v>A</x:v>
      </x:c>
    </x:row>
    <x:row r="24" ht="108" customHeight="1">
      <x:c r="A24" s="10" t="str">
        <x:v>MRPL49</x:v>
      </x:c>
      <x:c r="B24" s="10" t="str">
        <x:v>HGNC:1176</x:v>
      </x:c>
      <x:c r="C24" s="10" t="str">
        <x:v>PENDING</x:v>
      </x:c>
      <x:c r="D24" s="10" t="str">
        <x:v>PENDING</x:v>
      </x:c>
      <x:c r="E24" s="10" t="str">
        <x:v>YHC</x:v>
      </x:c>
      <x:c r="F24" s="13" t="d">
        <x:v>2026-10-17T00:00:00.000Z</x:v>
      </x:c>
      <x:c r="G24" s="13" t="d">
        <x:v>2025-04-03T00:00:00.000Z</x:v>
      </x:c>
      <x:c r="H24" s="10" t="str">
        <x:v>Figure 1</x:v>
      </x:c>
      <x:c r="I24" s="10" t="str">
        <x:v>sensorineural hearing loss, leukodystrophy, and ovarian insufﬁciency
4 pathogenic variants, 13 individualts from 9 families
AR</x:v>
      </x:c>
      <x:c r="J24" s="13" t="d">
        <x:v>2024-10-11T00:00:00.000Z</x:v>
      </x:c>
      <x:c r="K24" s="10" t="str">
        <x:v>A</x:v>
      </x:c>
    </x:row>
    <x:row r="25" ht="108" customHeight="1">
      <x:c r="A25" s="10" t="str">
        <x:v>PDIA6</x:v>
      </x:c>
      <x:c r="B25" s="10" t="str">
        <x:v>HGNC:30168</x:v>
      </x:c>
      <x:c r="C25" s="10" t="str">
        <x:v>PENDING</x:v>
      </x:c>
      <x:c r="D25" s="10" t="str">
        <x:v>PENDING</x:v>
      </x:c>
      <x:c r="E25" s="10" t="str">
        <x:v>YHC</x:v>
      </x:c>
      <x:c r="F25" s="13" t="d">
        <x:v>2026-10-17T00:00:00.000Z</x:v>
      </x:c>
      <x:c r="G25" s="13" t="d">
        <x:v>2021-01-21T00:00:00.000Z</x:v>
      </x:c>
      <x:c r="H25" s="10" t="str">
        <x:v>Figure 3</x:v>
      </x:c>
      <x:c r="I25" s="10" t="str">
        <x:v>asphyxiating thoracic dystrophy and neonatal-onset diabetes
1 pathogenic variants, 1 individualts from 1 families
1 KO mice (Zhang et al., 2005-02-01)
AR</x:v>
      </x:c>
      <x:c r="J25" s="13" t="d">
        <x:v>2021-01-26T00:00:00.000Z</x:v>
      </x:c>
      <x:c r="K25" s="10" t="str">
        <x:v>A</x:v>
      </x:c>
    </x:row>
    <x:row r="26" ht="108" customHeight="1">
      <x:c r="A26" s="10" t="str">
        <x:v>PKHD1L1</x:v>
      </x:c>
      <x:c r="B26" s="10" t="str">
        <x:v>HGNC:20313</x:v>
      </x:c>
      <x:c r="C26" s="10" t="str">
        <x:v>PENDING</x:v>
      </x:c>
      <x:c r="D26" s="10" t="str">
        <x:v>PENDING</x:v>
      </x:c>
      <x:c r="E26" s="10" t="str">
        <x:v>YHC</x:v>
      </x:c>
      <x:c r="F26" s="13" t="d">
        <x:v>2026-10-17T00:00:00.000Z</x:v>
      </x:c>
      <x:c r="G26" s="13" t="d">
        <x:v>2024-03-09T00:00:00.000Z</x:v>
      </x:c>
      <x:c r="H26" s="10" t="str">
        <x:v>Table 1; Figure 1</x:v>
      </x:c>
      <x:c r="I26" s="10" t="str">
        <x:v>nonsyndromic hearing loss
3 pathogenic variants, 4 individualts from 4 families
AR</x:v>
      </x:c>
      <x:c r="J26" s="13" t="d">
        <x:v>2023-10-09T00:00:00.000Z</x:v>
      </x:c>
      <x:c r="K26" s="10" t="str">
        <x:v>A</x:v>
      </x:c>
    </x:row>
    <x:row r="27" ht="108" customHeight="1">
      <x:c r="A27" s="10" t="str">
        <x:v>PLCG1</x:v>
      </x:c>
      <x:c r="B27" s="10" t="str">
        <x:v>HGNC:9065</x:v>
      </x:c>
      <x:c r="C27" s="10" t="str">
        <x:v>PENDING</x:v>
      </x:c>
      <x:c r="D27" s="10" t="str">
        <x:v>PENDING</x:v>
      </x:c>
      <x:c r="E27" s="10" t="str">
        <x:v>YHC</x:v>
      </x:c>
      <x:c r="F27" s="13" t="d">
        <x:v>2026-10-18T00:00:00.000Z</x:v>
      </x:c>
      <x:c r="G27" s="10" t="str">
        <x:v>2023-11-??
2025-08-17</x:v>
      </x:c>
      <x:c r="H27" s="10" t="str">
        <x:v>(PMID 37422272) Figure 1
(PMID 40862571) Table 1; Figure 1</x:v>
      </x:c>
      <x:c r="I27" s="10" t="str">
        <x:v>GOF alleles:  immune dysregulation disease (PMID 37422272)
1 pathogenic variants, 1 individualts from 1 families
hearing impairment, ocular pathology , cardiac septal defects , and various immunological issues (PMID 40862571)
4  pathogenic variants, 7 individualts from 4 families
+ 4 fly models
AD</x:v>
      </x:c>
      <x:c r="J27" s="13" t="d">
        <x:v>2024-01-09T00:00:00.000Z</x:v>
      </x:c>
      <x:c r="K27" s="10" t="str">
        <x:v>B</x:v>
      </x:c>
    </x:row>
    <x:row r="28" ht="108" customHeight="1">
      <x:c r="A28" s="10" t="str">
        <x:v>PSKH1</x:v>
      </x:c>
      <x:c r="B28" s="10" t="str">
        <x:v>HGNC:9529</x:v>
      </x:c>
      <x:c r="C28" s="10" t="str">
        <x:v>PENDING</x:v>
      </x:c>
      <x:c r="D28" s="10" t="str">
        <x:v>PENDING</x:v>
      </x:c>
      <x:c r="E28" s="10" t="str">
        <x:v>YHC</x:v>
      </x:c>
      <x:c r="F28" s="13" t="d">
        <x:v>2026-10-18T00:00:00.000Z</x:v>
      </x:c>
      <x:c r="G28" s="13" t="d">
        <x:v>2024-08-09T00:00:00.000Z</x:v>
      </x:c>
      <x:c r="H28" s="10" t="str">
        <x:v>Table 1; Figure 2</x:v>
      </x:c>
      <x:c r="I28" s="10" t="str">
        <x:v>hepatorenal ciliopathy
3  pathogenic variants, 7 individualts from 4families
AR</x:v>
      </x:c>
      <x:c r="J28" s="13" t="d">
        <x:v>2024-08-09T00:00:00.000Z</x:v>
      </x:c>
      <x:c r="K28" s="10" t="str">
        <x:v>A</x:v>
      </x:c>
    </x:row>
    <x:row r="29" ht="108" customHeight="1">
      <x:c r="A29" s="10" t="str">
        <x:v>RFC4</x:v>
      </x:c>
      <x:c r="B29" s="10" t="str">
        <x:v>HGNC:9972</x:v>
      </x:c>
      <x:c r="C29" s="10" t="str">
        <x:v>PENDING</x:v>
      </x:c>
      <x:c r="D29" s="10" t="str">
        <x:v>PENDING</x:v>
      </x:c>
      <x:c r="E29" s="10" t="str">
        <x:v>YHC</x:v>
      </x:c>
      <x:c r="F29" s="13" t="d">
        <x:v>2026-10-18T00:00:00.000Z</x:v>
      </x:c>
      <x:c r="G29" s="13" t="d">
        <x:v>2024-09-05T00:00:00.000Z</x:v>
      </x:c>
      <x:c r="H29" s="10" t="str">
        <x:v>Figrue 1; Figure 2; Table 2</x:v>
      </x:c>
      <x:c r="I29" s="10" t="str">
        <x:v>multisystemic disorder :incoordination, muscle weakness, hearing impairment, and decreased body weight
10  pathogenic variants, 9 individualts from 8 families
AR </x:v>
      </x:c>
      <x:c r="J29" s="13" t="d">
        <x:v>2024-08-05T00:00:00.000Z</x:v>
      </x:c>
      <x:c r="K29" s="10" t="str">
        <x:v>A</x:v>
      </x:c>
    </x:row>
    <x:row r="30" ht="108" customHeight="1">
      <x:c r="A30" s="10" t="str">
        <x:v>RNF220</x:v>
      </x:c>
      <x:c r="B30" s="10" t="str">
        <x:v>HGNC:25552</x:v>
      </x:c>
      <x:c r="C30" s="10" t="str">
        <x:v>PENDING</x:v>
      </x:c>
      <x:c r="D30" s="10" t="str">
        <x:v>PENDING</x:v>
      </x:c>
      <x:c r="E30" s="10" t="str">
        <x:v>YHC</x:v>
      </x:c>
      <x:c r="F30" s="13" t="d">
        <x:v>2026-10-18T00:00:00.000Z</x:v>
      </x:c>
      <x:c r="G30" s="13" t="d">
        <x:v>2021-05-08T00:00:00.000Z</x:v>
      </x:c>
      <x:c r="H30" s="10" t="str">
        <x:v>Figure 1; Table 1</x:v>
      </x:c>
      <x:c r="I30" s="10" t="str">
        <x:v>leukodystrophy, ataxia and deafness
2  pathogenic variants, 14 individualts from 5 families
AR</x:v>
      </x:c>
      <x:c r="J30" s="13" t="d">
        <x:v>2021-05-08T00:00:00.000Z</x:v>
      </x:c>
      <x:c r="K30" s="10" t="str">
        <x:v>A</x:v>
      </x:c>
    </x:row>
    <x:row r="31" ht="108" customHeight="1">
      <x:c r="A31" s="10" t="str">
        <x:v>RNU4-2</x:v>
      </x:c>
      <x:c r="B31" s="10" t="str">
        <x:v>HGNC:10193</x:v>
      </x:c>
      <x:c r="C31" s="10" t="str">
        <x:v>PENDING</x:v>
      </x:c>
      <x:c r="D31" s="10" t="str">
        <x:v>PENDING</x:v>
      </x:c>
      <x:c r="E31" s="10" t="str">
        <x:v>YHC</x:v>
      </x:c>
      <x:c r="F31" s="13" t="d">
        <x:v>2026-10-18T00:00:00.000Z</x:v>
      </x:c>
      <x:c r="G31" s="13" t="d">
        <x:v>2026-01-09T00:00:00.000Z</x:v>
      </x:c>
      <x:c r="H31" s="10" t="str">
        <x:v>Supplementary Fig. 1
Fig. 1a, Supplementary Fig. 1 and Supplementary Tables 1 and 2)
Supplementary Fig. 1 and Supplementary Tables 1 and 2
</x:v>
      </x:c>
      <x:c r="I31" s="10" t="str">
        <x:v>neurodevelopmental disorders; nonsyndromic retinitis pigmentosa; cystoid macular edema, non-age-related lens opacities, various vitreomacular complications 
2 pathogenic variants. 41 affected , 15 families
AD / de novo</x:v>
      </x:c>
      <x:c r="J31" s="13" t="d">
        <x:v>2025-01-06T00:00:00.000Z</x:v>
      </x:c>
      <x:c r="K31" s="10" t="str">
        <x:v>B</x:v>
      </x:c>
    </x:row>
    <x:row r="32" ht="108" customHeight="1">
      <x:c r="A32" s="10" t="str">
        <x:v>RNU6-2</x:v>
      </x:c>
      <x:c r="B32" s="10" t="str">
        <x:v>HGNC:34270</x:v>
      </x:c>
      <x:c r="C32" s="10" t="str">
        <x:v>PENDING</x:v>
      </x:c>
      <x:c r="D32" s="10" t="str">
        <x:v>PENDING</x:v>
      </x:c>
      <x:c r="E32" s="10" t="str">
        <x:v>YHC</x:v>
      </x:c>
      <x:c r="F32" s="13" t="d">
        <x:v>2026-10-18T00:00:00.000Z</x:v>
      </x:c>
      <x:c r="G32" s="13" t="d">
        <x:v>2026-01-09T00:00:00.000Z</x:v>
      </x:c>
      <x:c r="H32" s="10" t="str">
        <x:v>Supplementary Fig. 1
Fig. 1a, Supplementary Fig. 1 and Supplementary Tables 1 and 2)
Supplementary Fig. 1 and Supplementary Tables 1 and 2</x:v>
      </x:c>
      <x:c r="I32" s="10" t="str">
        <x:v>Nonsyndromic retinitis pigmentosa (RP)
2 pathogenic variants, ? individualts from 14 families
AD / de novo</x:v>
      </x:c>
      <x:c r="J32" s="13" t="d">
        <x:v>2025-01-06T00:00:00.000Z</x:v>
      </x:c>
      <x:c r="K32" s="10" t="str">
        <x:v>A</x:v>
      </x:c>
    </x:row>
    <x:row r="33" ht="108" customHeight="1">
      <x:c r="A33" s="10" t="str">
        <x:v>RNU6-8</x:v>
      </x:c>
      <x:c r="B33" s="10" t="str">
        <x:v>HGNC:34285</x:v>
      </x:c>
      <x:c r="C33" s="10" t="str">
        <x:v>PENDING</x:v>
      </x:c>
      <x:c r="D33" s="10" t="str">
        <x:v>PENDING</x:v>
      </x:c>
      <x:c r="E33" s="10" t="str">
        <x:v>YHC</x:v>
      </x:c>
      <x:c r="F33" s="13" t="d">
        <x:v>2026-10-18T00:00:00.000Z</x:v>
      </x:c>
      <x:c r="G33" s="13" t="d">
        <x:v>2026-01-09T00:00:00.000Z</x:v>
      </x:c>
      <x:c r="H33" s="10" t="str">
        <x:v>Supplementary Fig. 1
Fig. 1a, Supplementary Fig. 1 and Supplementary Tables 1 and 2)
Supplementary Fig. 1 and Supplementary Tables 1 and 2</x:v>
      </x:c>
      <x:c r="I33" s="10" t="str">
        <x:v>Retinitis pigmentosa 105 (RP105)
1 pathogenic variants, 44 individualts from 12 families
AD / de novo</x:v>
      </x:c>
      <x:c r="J33" s="13" t="d">
        <x:v>2025-01-06T00:00:00.000Z</x:v>
      </x:c>
      <x:c r="K33" s="10" t="str">
        <x:v>A</x:v>
      </x:c>
    </x:row>
    <x:row r="34" ht="108" customHeight="1">
      <x:c r="A34" s="10" t="str">
        <x:v>RNU6-9</x:v>
      </x:c>
      <x:c r="B34" s="10" t="str">
        <x:v>HGNC:34269</x:v>
      </x:c>
      <x:c r="C34" s="10" t="str">
        <x:v>PENDING</x:v>
      </x:c>
      <x:c r="D34" s="10" t="str">
        <x:v>PENDING</x:v>
      </x:c>
      <x:c r="E34" s="10" t="str">
        <x:v>YHC</x:v>
      </x:c>
      <x:c r="F34" s="13" t="d">
        <x:v>2026-10-18T00:00:00.000Z</x:v>
      </x:c>
      <x:c r="G34" s="13" t="d">
        <x:v>2026-01-09T00:00:00.000Z</x:v>
      </x:c>
      <x:c r="H34" s="10" t="str">
        <x:v>Supplementary Fig. 1
Fig. 1a, Supplementary Fig. 1 and Supplementary Tables 1 and 2)
Supplementary Fig. 1 and Supplementary Tables 1 and 2</x:v>
      </x:c>
      <x:c r="I34" s="10" t="str">
        <x:v>Nonsyndromic retinitis pigmentosa (RP)
2 pathogenic variants, ? individualts from17 families
AD / de novo</x:v>
      </x:c>
      <x:c r="J34" s="13" t="d">
        <x:v>2025-01-06T00:00:00.000Z</x:v>
      </x:c>
      <x:c r="K34" s="10" t="str">
        <x:v>A</x:v>
      </x:c>
    </x:row>
    <x:row r="35" ht="108" customHeight="1">
      <x:c r="A35" s="10" t="str">
        <x:v>RSG1</x:v>
      </x:c>
      <x:c r="B35" s="10" t="str">
        <x:v>HGNC:28127</x:v>
      </x:c>
      <x:c r="C35" s="10" t="str">
        <x:v>PENDING</x:v>
      </x:c>
      <x:c r="D35" s="10" t="str">
        <x:v>PENDING</x:v>
      </x:c>
      <x:c r="E35" s="10" t="str">
        <x:v>YHC</x:v>
      </x:c>
      <x:c r="F35" s="13" t="d">
        <x:v>2026-10-18T00:00:00.000Z</x:v>
      </x:c>
      <x:c r="G35" s="13" t="d">
        <x:v>2025-07-01T00:00:00.000Z</x:v>
      </x:c>
      <x:c r="H35" s="10" t="str">
        <x:v>Figrue1</x:v>
      </x:c>
      <x:c r="I35" s="10" t="str">
        <x:v>ciliopathy: cleft palate, tongue lobulations and polydactyly, phenotypes characteristic of Oral-FacialDigital Syndrome.
3  pathogenic variants, 3 individualts from 3 families
AR</x:v>
      </x:c>
      <x:c r="J35" s="13" t="d">
        <x:v>2024-09-26T00:00:00.000Z</x:v>
      </x:c>
      <x:c r="K35" s="10" t="str">
        <x:v>A</x:v>
      </x:c>
    </x:row>
    <x:row r="36" ht="108" customHeight="1">
      <x:c r="A36" s="10" t="str">
        <x:v>SAXO6</x:v>
      </x:c>
      <x:c r="B36" s="10" t="str">
        <x:v>HGNC:29917</x:v>
      </x:c>
      <x:c r="C36" s="10" t="str">
        <x:v>PENDING</x:v>
      </x:c>
      <x:c r="D36" s="10" t="str">
        <x:v>PENDING</x:v>
      </x:c>
      <x:c r="E36" s="10" t="str">
        <x:v>YHC</x:v>
      </x:c>
      <x:c r="F36" s="13" t="d">
        <x:v>2026-10-18T00:00:00.000Z</x:v>
      </x:c>
      <x:c r="G36" s="13" t="d">
        <x:v>2026-03-05T00:00:00.000Z</x:v>
      </x:c>
      <x:c r="H36" s="10" t="str">
        <x:v>Figure 1 </x:v>
      </x:c>
      <x:c r="I36" s="10" t="str">
        <x:v>late-onset retinal dystrophy
6 pathogenic variants, 10 individualts from 5 families
AR</x:v>
      </x:c>
      <x:c r="J36" s="13" t="d">
        <x:v>2026-02-24T00:00:00.000Z</x:v>
      </x:c>
      <x:c r="K36" s="10" t="str">
        <x:v>A</x:v>
      </x:c>
    </x:row>
    <x:row r="37" ht="108" customHeight="1">
      <x:c r="A37" s="10" t="str">
        <x:v>SCNM1</x:v>
      </x:c>
      <x:c r="B37" s="10" t="str">
        <x:v>HGNC:23136</x:v>
      </x:c>
      <x:c r="C37" s="10" t="str">
        <x:v>PENDING</x:v>
      </x:c>
      <x:c r="D37" s="10" t="str">
        <x:v>PENDING</x:v>
      </x:c>
      <x:c r="E37" s="10" t="str">
        <x:v>YHC</x:v>
      </x:c>
      <x:c r="F37" s="13" t="d">
        <x:v>2026-10-18T00:00:00.000Z</x:v>
      </x:c>
      <x:c r="G37" s="13" t="d">
        <x:v>2022-10-06T00:00:00.000Z</x:v>
      </x:c>
      <x:c r="H37" s="10" t="str">
        <x:v>Figure 2</x:v>
      </x:c>
      <x:c r="I37" s="10" t="str">
        <x:v>orofaciodigital syndrome
3 pathogenic variants, 4 individualts from 3 families
AR</x:v>
      </x:c>
      <x:c r="J37" s="13" t="d">
        <x:v>2022-09-08T00:00:00.000Z</x:v>
      </x:c>
      <x:c r="K37" s="10" t="str">
        <x:v>A</x:v>
      </x:c>
    </x:row>
    <x:row r="38" ht="108" customHeight="1">
      <x:c r="A38" s="10" t="str">
        <x:v>SLC66A1</x:v>
      </x:c>
      <x:c r="B38" s="10" t="str">
        <x:v>HGNC:26001</x:v>
      </x:c>
      <x:c r="C38" s="10" t="str">
        <x:v>PENDING</x:v>
      </x:c>
      <x:c r="D38" s="10" t="str">
        <x:v>PENDING</x:v>
      </x:c>
      <x:c r="E38" s="10" t="str">
        <x:v>YHC</x:v>
      </x:c>
      <x:c r="F38" s="13" t="d">
        <x:v>2026-10-18T00:00:00.000Z</x:v>
      </x:c>
      <x:c r="G38" s="13" t="d">
        <x:v>2022-04-29T00:00:00.000Z</x:v>
      </x:c>
      <x:c r="H38" s="10" t="str">
        <x:v>Table 2
(Supplemental Figure 1).</x:v>
      </x:c>
      <x:c r="I38" s="10" t="str">
        <x:v>autosomal recessive RP (ARRP)
2 pathogenic variants, 7 individualts from 2 families
AR</x:v>
      </x:c>
      <x:c r="J38" s="13" t="d">
        <x:v>2022-04-29T00:00:00.000Z</x:v>
      </x:c>
      <x:c r="K38" s="10" t="str">
        <x:v>A</x:v>
      </x:c>
    </x:row>
    <x:row r="39" ht="108" customHeight="1">
      <x:c r="A39" s="10" t="str">
        <x:v>SPATA5L1</x:v>
      </x:c>
      <x:c r="B39" s="10" t="str">
        <x:v>HGNC:28762</x:v>
      </x:c>
      <x:c r="C39" s="10" t="str">
        <x:v>PENDING</x:v>
      </x:c>
      <x:c r="D39" s="10" t="str">
        <x:v>PENDING</x:v>
      </x:c>
      <x:c r="E39" s="10" t="str">
        <x:v>YHC</x:v>
      </x:c>
      <x:c r="F39" s="13" t="d">
        <x:v>2026-10-19T00:00:00.000Z</x:v>
      </x:c>
      <x:c r="G39" s="13" t="d">
        <x:v>2021-10-07T00:00:00.000Z</x:v>
      </x:c>
      <x:c r="H39" s="10" t="str">
        <x:v>Table 1</x:v>
      </x:c>
      <x:c r="I39" s="10" t="str">
        <x:v>intellectual disability, spastic-dystonic cerebral palsy, epilepsy, and sensorineural hearing loss
28 pathogenic variants, 47 individualts from 28 (26 rnrelated) families
AR</x:v>
      </x:c>
      <x:c r="J39" s="13" t="d">
        <x:v>2021-10-07T00:00:00.000Z</x:v>
      </x:c>
      <x:c r="K39" s="10" t="str">
        <x:v>A</x:v>
      </x:c>
    </x:row>
    <x:row r="40" ht="108" customHeight="1">
      <x:c r="A40" s="10" t="str">
        <x:v>STX3</x:v>
      </x:c>
      <x:c r="B40" s="10" t="str">
        <x:v>HGNC:11438</x:v>
      </x:c>
      <x:c r="C40" s="10" t="str">
        <x:v>PENDING</x:v>
      </x:c>
      <x:c r="D40" s="10" t="str">
        <x:v>PENDING</x:v>
      </x:c>
      <x:c r="E40" s="10" t="str">
        <x:v>YHC</x:v>
      </x:c>
      <x:c r="F40" s="13" t="d">
        <x:v>2026-10-19T00:00:00.000Z</x:v>
      </x:c>
      <x:c r="G40" s="10" t="str">
        <x:v>2021-05-11
Wiegerinck et al. (2014) 就有 report microvillus inclusion disease
https://doi. org/10.1053/j.gastro.2014.04.002</x:v>
      </x:c>
      <x:c r="H40" s="10" t="str">
        <x:v>Table 1</x:v>
      </x:c>
      <x:c r="I40" s="10" t="str">
        <x:v>early‑onset severe retinal dystrophy in microvillus inclusion disease
8   pathogenic variants, 8 individualts from 8 families
AR</x:v>
      </x:c>
      <x:c r="J40" s="13" t="d">
        <x:v>2021-05-11T00:00:00.000Z</x:v>
      </x:c>
      <x:c r="K40" s="10" t="str">
        <x:v>B</x:v>
      </x:c>
    </x:row>
    <x:row r="41" ht="108" customHeight="1">
      <x:c r="A41" s="10" t="str">
        <x:v>TMEM72</x:v>
      </x:c>
      <x:c r="B41" s="10" t="str">
        <x:v>HGNC:31658</x:v>
      </x:c>
      <x:c r="C41" s="10" t="str">
        <x:v>PENDING</x:v>
      </x:c>
      <x:c r="D41" s="10" t="str">
        <x:v>PENDING</x:v>
      </x:c>
      <x:c r="E41" s="10" t="str">
        <x:v>YHC</x:v>
      </x:c>
      <x:c r="F41" s="13" t="d">
        <x:v>2026-10-19T00:00:00.000Z</x:v>
      </x:c>
      <x:c r="G41" s="13" t="d">
        <x:v>2025-11-27T00:00:00.000Z</x:v>
      </x:c>
      <x:c r="H41" s="10" t="str">
        <x:v>Figure 1
Table 1</x:v>
      </x:c>
      <x:c r="I41" s="10" t="str">
        <x:v>Nephronophthisis-Like kidney disease primary cilium defects
4 pathogenic variants, 9 individualts from 6 families
AR</x:v>
      </x:c>
      <x:c r="J41" s="13" t="d">
        <x:v>2021-08-31T00:00:00.000Z</x:v>
      </x:c>
      <x:c r="K41" s="10" t="str">
        <x:v>A</x:v>
      </x:c>
    </x:row>
    <x:row r="42" ht="108" customHeight="1">
      <x:c r="A42" s="10" t="str">
        <x:v>TP73</x:v>
      </x:c>
      <x:c r="B42" s="10" t="str">
        <x:v>HGNC:12003</x:v>
      </x:c>
      <x:c r="C42" s="10" t="str">
        <x:v>PENDING</x:v>
      </x:c>
      <x:c r="D42" s="10" t="str">
        <x:v>PENDING</x:v>
      </x:c>
      <x:c r="E42" s="10" t="str">
        <x:v>YHC</x:v>
      </x:c>
      <x:c r="F42" s="13" t="d">
        <x:v>2026-10-19T00:00:00.000Z</x:v>
      </x:c>
      <x:c r="G42" s="13" t="d">
        <x:v>2021-07-01T00:00:00.000Z</x:v>
      </x:c>
      <x:c r="H42" s="10" t="str">
        <x:v>Figure 1</x:v>
      </x:c>
      <x:c r="I42" s="10" t="str">
        <x:v>Impaired mucociliary clearance and lissencephaly
4 pathogenic variants, 7 individualts from 5 unrelted families
AR</x:v>
      </x:c>
      <x:c r="J42" s="13" t="d">
        <x:v>2021-06-01T00:00:00.000Z</x:v>
      </x:c>
      <x:c r="K42" s="10" t="str">
        <x:v>A</x:v>
      </x:c>
    </x:row>
    <x:row r="43" ht="108" customHeight="1">
      <x:c r="A43" s="10" t="str">
        <x:v>UBAP1L</x:v>
      </x:c>
      <x:c r="B43" s="10" t="str">
        <x:v>HGNC:40028</x:v>
      </x:c>
      <x:c r="C43" s="10" t="str">
        <x:v>PENDING</x:v>
      </x:c>
      <x:c r="D43" s="10" t="str">
        <x:v>PENDING</x:v>
      </x:c>
      <x:c r="E43" s="10" t="str">
        <x:v>YHC</x:v>
      </x:c>
      <x:c r="F43" s="13" t="d">
        <x:v>2026-10-19T00:00:00.000Z</x:v>
      </x:c>
      <x:c r="G43" s="13" t="d">
        <x:v>2024-01-28T00:00:00.000Z</x:v>
      </x:c>
      <x:c r="H43" s="10" t="str">
        <x:v>Figure 1</x:v>
      </x:c>
      <x:c r="I43" s="10" t="str">
        <x:v>rod-cone and cone-rod dystrophy
3 pathogenic variants, 6 individualts from 4 families
AR</x:v>
      </x:c>
      <x:c r="J43" s="13" t="d">
        <x:v>2024-01-28T00:00:00.000Z</x:v>
      </x:c>
      <x:c r="K43" s="10" t="str">
        <x:v>A</x:v>
      </x:c>
    </x:row>
    <x:row r="44" ht="108" customHeight="1">
      <x:c r="A44" s="10" t="str">
        <x:v>USP48</x:v>
      </x:c>
      <x:c r="B44" s="10" t="str">
        <x:v>HGNC:18533</x:v>
      </x:c>
      <x:c r="C44" s="10" t="str">
        <x:v>PENDING</x:v>
      </x:c>
      <x:c r="D44" s="10" t="str">
        <x:v>PENDING</x:v>
      </x:c>
      <x:c r="E44" s="10" t="str">
        <x:v>YHC</x:v>
      </x:c>
      <x:c r="F44" s="13" t="d">
        <x:v>2026-10-19T00:00:00.000Z</x:v>
      </x:c>
      <x:c r="G44" s="13" t="d">
        <x:v>2021-05-25T00:00:00.000Z</x:v>
      </x:c>
      <x:c r="H44" s="10" t="str">
        <x:v>Figure 1</x:v>
      </x:c>
      <x:c r="I44" s="10" t="str">
        <x:v>non-syndromic hereditary hearing loss
3  pathogenic variants, 10 individualts from 3 families
AD</x:v>
      </x:c>
      <x:c r="J44" s="13" t="d">
        <x:v>2021-05-31T00:00:00.000Z</x:v>
      </x:c>
      <x:c r="K44" s="10" t="str">
        <x:v>A</x:v>
      </x:c>
    </x:row>
    <x:row r="45" ht="108" customHeight="1">
      <x:c r="A45" s="10" t="str">
        <x:v>VWA8</x:v>
      </x:c>
      <x:c r="B45" s="10" t="str">
        <x:v>HGNC:29071</x:v>
      </x:c>
      <x:c r="C45" s="10" t="str">
        <x:v>PENDING</x:v>
      </x:c>
      <x:c r="D45" s="10" t="str">
        <x:v>PENDING</x:v>
      </x:c>
      <x:c r="E45" s="10" t="str">
        <x:v>YHC</x:v>
      </x:c>
      <x:c r="F45" s="13" t="d">
        <x:v>2026-10-19T00:00:00.000Z</x:v>
      </x:c>
      <x:c r="G45" s="13" t="d">
        <x:v>2021-10-01T00:00:00.000Z</x:v>
      </x:c>
      <x:c r="H45" s="10" t="str">
        <x:v>Figure 1
Table 1</x:v>
      </x:c>
      <x:c r="I45" s="10" t="str">
        <x:v>Developmental Delay, Microcephaly, and Scoliosis 
1  pathogenic variants, 9 individualts from 1 families
AR
1 Tg Zebrafish </x:v>
      </x:c>
      <x:c r="J45" s="13" t="d">
        <x:v>2023-04-03T00:00:00.000Z</x:v>
      </x:c>
      <x:c r="K45" s="10" t="str">
        <x:v>B</x:v>
      </x:c>
    </x:row>
    <x:row r="46" ht="108" customHeight="1">
      <x:c r="A46" s="10" t="str">
        <x:v>XXYLT1</x:v>
      </x:c>
      <x:c r="B46" s="10" t="str">
        <x:v>HGNC:26639</x:v>
      </x:c>
      <x:c r="C46" s="10" t="str">
        <x:v>PENDING</x:v>
      </x:c>
      <x:c r="D46" s="10" t="str">
        <x:v>PENDING</x:v>
      </x:c>
      <x:c r="E46" s="10" t="str">
        <x:v>YHC</x:v>
      </x:c>
      <x:c r="F46" s="13" t="d">
        <x:v>2026-10-19T00:00:00.000Z</x:v>
      </x:c>
      <x:c r="G46" s="13" t="d">
        <x:v>2026-07-30T00:00:00.000Z</x:v>
      </x:c>
      <x:c r="H46" s="10" t="str">
        <x:v>Figure 1
Table 1</x:v>
      </x:c>
      <x:c r="I46" s="10" t="str">
        <x:v>Retinal Dystrophy
2 pathogenic variants, 7 individualts from 5 families
AR</x:v>
      </x:c>
      <x:c r="J46" s="13" t="d">
        <x:v>2026-07-30T00:00:00.000Z</x:v>
      </x:c>
      <x:c r="K46" s="10" t="str">
        <x:v>A</x:v>
      </x:c>
    </x:row>
  </x:sheetData>
  <x:pageMargins left="0.7" right="0.7" top="0.75" bottom="0.75" header="0.3" footer="0.3"/>
  <x:tableParts count="1">
    <x:tablePart xmlns:r="http://schemas.openxmlformats.org/officeDocument/2006/relationships" r:id="R915cf900e7f54675"/>
  </x:tableParts>
</x:worksheet>
</file>

<file path=xl/worksheets/sheet3.xml><?xml version="1.0" encoding="utf-8"?>
<x:worksheet xmlns:x="http://schemas.openxmlformats.org/spreadsheetml/2006/main">
  <x:sheetPr>
    <x:tabColor rgb="FF607D8B"/>
  </x:sheetPr>
  <x:sheetViews>
    <x:sheetView showGridLines="0" workbookViewId="0">
      <x:pane ySplit="4" topLeftCell="A5" activePane="bottomLeft" state="frozen"/>
    </x:sheetView>
  </x:sheetViews>
  <x:sheetFormatPr defaultRowHeight="15"/>
  <x:cols>
    <x:col min="1" max="1" width="34" hidden="0" customWidth="1"/>
    <x:col min="2" max="2" width="115" hidden="0" customWidth="1"/>
  </x:cols>
  <x:sheetData>
    <x:row r="1">
      <x:c r="A1" s="2"/>
      <x:c r="B1" s="2"/>
    </x:row>
    <x:row r="2" ht="30" customHeight="1">
      <x:c r="A2" s="3" t="str">
        <x:v>How to finish the author confirmations</x:v>
      </x:c>
      <x:c r="B2" s="2"/>
    </x:row>
    <x:row r="3">
      <x:c r="A3" s="2"/>
      <x:c r="B3" s="2"/>
    </x:row>
    <x:row r="4" ht="30" customHeight="1">
      <x:c r="A4" s="9" t="str">
        <x:v>Question / term</x:v>
      </x:c>
      <x:c r="B4" s="9" t="str">
        <x:v>Plain-language explanation</x:v>
      </x:c>
    </x:row>
    <x:row r="5" ht="48" customHeight="1">
      <x:c r="A5" s="10" t="str">
        <x:v>What are we deciding?</x:v>
      </x:c>
      <x:c r="B5" s="10" t="str">
        <x:v>For each gene, decide whether it belongs to the test set of later-reported retinal/optic, hearing or explicitly supported ciliary disease genes. This is what the earlier phrase “principal temporal test cohort” meant.</x:v>
      </x:c>
    </x:row>
    <x:row r="6" ht="48" customHeight="1">
      <x:c r="A6" s="10" t="str">
        <x:v>What does source location mean?</x:v>
      </x:c>
      <x:c r="B6" s="10" t="str">
        <x:v>A PMID plus the place inside that article: PDF page, printed page, figure, table or supplement. Example: PMID 33389130, PDF p.1 abstract. An exact citation helps another author check the same fact.</x:v>
      </x:c>
    </x:row>
    <x:row r="7" ht="66" customHeight="1">
      <x:c r="A7" s="10" t="str">
        <x:v>What has already been done?</x:v>
      </x:c>
      <x:c r="B7" s="10" t="str">
        <x:v>The returned workbook contains 45 author names, review dates and source/genotype notes. All 45 eligibility decisions still say PENDING. Date decisions are 10 CONFIRMED, 6 REVISED and 29 PENDING. Notes are preserved verbatim in Author return.</x:v>
      </x:c>
    </x:row>
    <x:row r="8" ht="66" customHeight="1">
      <x:c r="A8" s="10" t="str">
        <x:v>What should I fill now?</x:v>
      </x:c>
      <x:c r="B8" s="10" t="str">
        <x:v>Answer the specific question in Confirmations. Fill decision, earliest public TARGET date (or an interval in the reply), source-backed reply, your name and the date. Yellow cells are new author inputs. Do not overwrite original observations.</x:v>
      </x:c>
    </x:row>
    <x:row r="9" ht="48" customHeight="1">
      <x:c r="A9" s="10" t="str">
        <x:v>INCLUDE</x:v>
      </x:c>
      <x:c r="B9" s="10" t="str">
        <x:v>Use this gene as a test case only after the phenotype, unrelated-family, inheritance, support and timing rules below are met. INCLUDE means test-set membership, not general clinical certification.</x:v>
      </x:c>
    </x:row>
    <x:row r="10" ht="48" customHeight="1">
      <x:c r="A10" s="10" t="str">
        <x:v>EXCLUDE / UNCERTAIN / PENDING</x:v>
      </x:c>
      <x:c r="B10" s="10" t="str">
        <x:v>EXCLUDE: a documented rule fails. UNCERTAIN: required evidence or public timing cannot be resolved. PENDING: no final decision yet. Record a reason rather than turning missing evidence into a negative finding.</x:v>
      </x:c>
    </x:row>
    <x:row r="11" ht="66" customHeight="1">
      <x:c r="A11" s="10" t="str">
        <x:v>Clinical rules</x:v>
      </x:c>
      <x:c r="B11" s="10" t="str">
        <x:v>Relevant human retinal/optic disease, hearing impairment or an explicitly supported ciliopathy; target genotype/phenotype evidence in at least two unrelated families; consistent inheritance/segregation; and functional support OR independent human replication adding a new target-affected family.</x:v>
      </x:c>
    </x:row>
    <x:row r="12" ht="66" customHeight="1">
      <x:c r="A12" s="10" t="str">
        <x:v>What does NOT suffice?</x:v>
      </x:c>
      <x:c r="B12" s="10" t="str">
        <x:v>Normal expression/localization or computer prediction alone is not functional support. Same-family follow-up is not independent replication. Total neurological or multisystem families are not automatically target sensory families. Use gene-specific counts in multi-gene reports.</x:v>
      </x:c>
    </x:row>
    <x:row r="13" ht="66" customHeight="1">
      <x:c r="A13" s="10" t="str">
        <x:v>Timing rules</x:v>
      </x:c>
      <x:c r="B13" s="10" t="str">
        <x:v>First public proposal of the HUMAN TARGET association must be after 2020-12-31. Stronger qualifying evidence must have accumulated by 2026-10-06. Include public preprints and in-press versions. Receipt and acceptance dates are not automatically public-release dates.</x:v>
      </x:c>
    </x:row>
    <x:row r="14" ht="66" customHeight="1">
      <x:c r="A14" s="10" t="str">
        <x:v>Three different dates</x:v>
      </x:c>
      <x:c r="B14" s="10" t="str">
        <x:v>First proposed target association, first date meeting the stronger clinical rubric, and the date the author reviews the evidence are distinct. Example: target preprint 2021-06-10, journal 2022, replication 2024: the first-public target date is 2021-06-10. This is a hypothetical example.</x:v>
      </x:c>
    </x:row>
    <x:row r="15" ht="66" customHeight="1">
      <x:c r="A15" s="10" t="str">
        <x:v>Intervals and early theses/conferences</x:v>
      </x:c>
      <x:c r="B15" s="10" t="str">
        <x:v>CREB3, MRPL49 and TMEM72 have frozen earliest-publicity intervals. An interval lower bound displayed as a date in the old workbook is not proof of an exact day. Keep the interval if an exact day is unavailable. An interval crossing the cutoff cannot enter primary novelty recovery until resolved.</x:v>
      </x:c>
    </x:row>
    <x:row r="16" ht="66" customHeight="1">
      <x:c r="A16" s="10" t="str">
        <x:v>Prior non-target disease</x:v>
      </x:c>
      <x:c r="B16" s="10" t="str">
        <x:v>A prior intestinal, immune or developmental association is different from the first retinal/hearing/ciliary target association. Category B preserves an earlier non-target disease and a later first target association (for example STX3 and VWA8).</x:v>
      </x:c>
    </x:row>
    <x:row r="17" ht="66" customHeight="1">
      <x:c r="A17" s="10" t="str">
        <x:v>How to use the source checks</x:v>
      </x:c>
      <x:c r="B17" s="10" t="str">
        <x:v>Source checks and date candidates are AI-assisted suggestions for author confirmation. Frozen earlier preprint nominations are identified as candidates unless independently rechecked here. No case is automatically included/excluded and no frozen score or outcome is changed.</x:v>
      </x:c>
    </x:row>
    <x:row r="18" ht="66" customHeight="1">
      <x:c r="A18" s="10" t="str">
        <x:v>Reference archive</x:v>
      </x:c>
      <x:c r="B18" s="10" t="str">
        <x:v>Refs.zip contains 46 PDFs, 43 unique PMID labels and 44 unique file hashes (768 pages across copies). Four RNU-labelled PDFs concern the same PMID, not four independent replications. Some additional references nominated by the frozen evidence are not in this return.</x:v>
      </x:c>
    </x:row>
    <x:row r="19" ht="66" customHeight="1">
      <x:c r="A19" s="10" t="str">
        <x:v>Symbol correction</x:v>
      </x:c>
      <x:c r="B19" s="10" t="str">
        <x:v>The professor requested CLXN instead of EFCAB1. The current display is CLXN (EFCAB1); HGNC:25678 and the frozen historical gene identity remain unchanged. Official attribution: https://search.clinicalgenome.org/kb/genes/HGNC%3A25678</x:v>
      </x:c>
    </x:row>
    <x:row r="20" ht="48" customHeight="1">
      <x:c r="A20" s="10" t="str">
        <x:v>Independent check example</x:v>
      </x:c>
      <x:c r="B20" s="10" t="str">
        <x:v>DNAJC30 publisher version history lists the in-press preview on 2021-01-19, before the 2021-03-15 issue: https://www.jci.org/articles/view/138267 . Author confirmation remains pending.</x:v>
      </x:c>
    </x:row>
    <x:row r="21" ht="66" customHeight="1">
      <x:c r="A21" s="10" t="str">
        <x:v>Source preservation</x:v>
      </x:c>
      <x:c r="B21" s="10" t="str">
        <x:v>The two original returned files are preserved byte-for-byte with SHA-256 records. This workbook is a separate reconciliation aid. The original returned comments are transcribed below; the original file retains its native comment threads.</x:v>
      </x:c>
    </x:row>
    <x:row r="22" ht="66" customHeight="1">
      <x:c r="A22" s="10" t="str">
        <x:v>What was not assessed</x:v>
      </x:c>
      <x:c r="B22" s="10" t="str">
        <x:v>This intake includes machine extraction of all supplied PDFs and targeted checks, not a complete independent clinical adjudication of all 768 pages, not proof that no earlier report exists, and not a replacement for the author decisions.</x:v>
      </x:c>
    </x:row>
    <x:row r="23" ht="44" customHeight="1">
      <x:c r="A23" s="10" t="str">
        <x:v>Original comment C8</x:v>
      </x:c>
      <x:c r="B23" s="10" t="str">
        <x:v>什麼意思？principal temporal test cohort?</x:v>
      </x:c>
    </x:row>
    <x:row r="24" ht="44" customHeight="1">
      <x:c r="A24" s="10" t="str">
        <x:v>Original comment I8</x:v>
      </x:c>
      <x:c r="B24" s="10" t="str">
        <x:v>what is source location?
</x:v>
      </x:c>
    </x:row>
    <x:row r="25" ht="44" customHeight="1">
      <x:c r="A25" s="10" t="str">
        <x:v>Original comment A22</x:v>
      </x:c>
      <x:c r="B25" s="10" t="str">
        <x:v>Approved symbol 
CLXN</x:v>
      </x:c>
    </x:row>
    <x:row r="26" ht="48" customHeight="1">
      <x:c r="A26" s="10" t="str">
        <x:v>Protocol</x:v>
      </x:c>
      <x:c r="B26" s="10" t="str">
        <x:v>Frozen rules: https://github.com/gbanyan/usher-exploring/blob/53da295/revision/major_revision_20261006/temporal_validation_v2/PROTOCOL.md</x:v>
      </x:c>
    </x:row>
    <x:row r="27">
      <x:c r="A27" s="2"/>
      <x:c r="B27" s="2"/>
    </x:row>
    <x:row r="28">
      <x:c r="A28" s="2"/>
      <x:c r="B28" s="2"/>
    </x:row>
    <x:row r="29">
      <x:c r="A29" s="2"/>
      <x:c r="B29" s="2"/>
    </x:row>
    <x:row r="30">
      <x:c r="A30" s="2"/>
      <x:c r="B30" s="2"/>
    </x:row>
    <x:row r="31">
      <x:c r="A31" s="2"/>
      <x:c r="B31" s="2"/>
    </x:row>
    <x:row r="32">
      <x:c r="A32" s="2"/>
      <x:c r="B32" s="2"/>
    </x:row>
    <x:row r="33">
      <x:c r="A33" s="2"/>
      <x:c r="B33" s="2"/>
    </x:row>
    <x:row r="34">
      <x:c r="A34" s="2"/>
      <x:c r="B34" s="2"/>
    </x:row>
    <x:row r="35">
      <x:c r="A35" s="2"/>
      <x:c r="B35" s="2"/>
    </x:row>
  </x:sheetData>
  <x:pageMargins left="0.7" right="0.7" top="0.75" bottom="0.75" header="0.3" footer="0.3"/>
</x:worksheet>
</file>