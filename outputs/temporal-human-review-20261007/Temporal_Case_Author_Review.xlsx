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a03b13d024e16" 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0d56e05638374f38"/>
    <sheet name="Evidence" sheetId="2" r:id="Receba7a835ef4b02"/>
    <sheet name="Original TSV" sheetId="3" r:id="Rff5c6b4c77454246"/>
  </sheets>
  <calcPr calcMode="auto" fullCalcOnLoad="1" forceFullCalc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7">
    <x:font>
      <x:sz val="11"/>
      <x:name val="Carlito"/>
    </x:font>
    <x:font>
      <x:sz val="11"/>
      <x:color rgb="FF24364B"/>
      <x:name val="Arial"/>
    </x:font>
    <x:font>
      <x:b/>
      <x:sz val="16"/>
      <x:color rgb="FF24364B"/>
      <x:name val="Arial"/>
    </x:font>
    <x:font>
      <x:b/>
      <x:sz val="11"/>
      <x:color rgb="FFFFFFFF"/>
      <x:name val="Arial"/>
    </x:font>
    <x:font>
      <x:b/>
      <x:sz val="11"/>
      <x:color rgb="FF24364B"/>
      <x:name val="Arial"/>
    </x:font>
    <x:font>
      <x:sz val="11"/>
      <x:color rgb="FF1565C0"/>
      <x:name val="Arial"/>
    </x:font>
    <x:font>
      <x:b/>
      <x:sz val="11"/>
      <x:color rgb="FF1565C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4C72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C35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ef4f139a5411c" /><Relationship Type="http://schemas.openxmlformats.org/officeDocument/2006/relationships/theme" Target="/xl/theme/theme1.xml" Id="R27926dbce88e4e3e" /><Relationship Type="http://schemas.openxmlformats.org/officeDocument/2006/relationships/sharedStrings" Target="/xl/sharedStrings.xml" Id="Rcd80d5e80bc34851" /><Relationship Type="http://schemas.openxmlformats.org/officeDocument/2006/relationships/worksheet" Target="/xl/worksheets/sheet1.xml" Id="R0d56e05638374f38" /><Relationship Type="http://schemas.openxmlformats.org/officeDocument/2006/relationships/worksheet" Target="/xl/worksheets/sheet2.xml" Id="Receba7a835ef4b02" /><Relationship Type="http://schemas.openxmlformats.org/officeDocument/2006/relationships/worksheet" Target="/xl/worksheets/sheet3.xml" Id="Rff5c6b4c77454246" /></Relationships>
</file>

<file path=xl/tables/table1.xml><?xml version="1.0" encoding="utf-8"?>
<x:table xmlns:x="http://schemas.openxmlformats.org/spreadsheetml/2006/main" id="1" name="TemporalReview" displayName="TemporalReview" ref="A8:K53" headerRowCount="1" totalsRowCount="0" totalsRowShown="0">
  <x:tableColumns count="11">
    <x:tableColumn id="1" name="Gene / evidence"/>
    <x:tableColumn id="2" name="Gene key"/>
    <x:tableColumn id="3" name="Eligibility decision"/>
    <x:tableColumn id="4" name="Date decision"/>
    <x:tableColumn id="5" name="Reviewer"/>
    <x:tableColumn id="6" name="Review date"/>
    <x:tableColumn id="7" name="Verified association date"/>
    <x:tableColumn id="8" name="Eligibility/date notes + source location"/>
    <x:tableColumn id="9" name="Case-specific inheritance / genotype + source location"/>
    <x:tableColumn id="10" name="AI located date"/>
    <x:tableColumn id="11" name="AI novel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iginalTemporalTSV" displayName="OriginalTemporalTSV" ref="A1:U46" headerRowCount="1" totalsRowCount="0" totalsRowShown="0">
  <x:tableColumns count="21">
    <x:tableColumn id="1" name="symbol"/>
    <x:tableColumn id="2" name="gene_key"/>
    <x:tableColumn id="3" name="novelty"/>
    <x:tableColumn id="4" name="earliest_located_publication_date"/>
    <x:tableColumn id="5" name="target_public_date_interval"/>
    <x:tableColumn id="6" name="domains"/>
    <x:tableColumn id="7" name="unrelated_target_families_lower_bound"/>
    <x:tableColumn id="8" name="clinical_pmids"/>
    <x:tableColumn id="9" name="reference_keys"/>
    <x:tableColumn id="10" name="evidence_summary"/>
    <x:tableColumn id="11" name="qualifying_functional_evidence"/>
    <x:tableColumn id="12" name="decision_reason"/>
    <x:tableColumn id="13" name="human_reviewer"/>
    <x:tableColumn id="14" name="human_review_date"/>
    <x:tableColumn id="15" name="human_eligibility_decision"/>
    <x:tableColumn id="16" name="human_date_decision"/>
    <x:tableColumn id="17" name="human_notes"/>
    <x:tableColumn id="18" name="independent_replication_pmids"/>
    <x:tableColumn id="19" name="independent_replication_evidence"/>
    <x:tableColumn id="20" name="ai_inheritance_summary_not_case_specific"/>
    <x:tableColumn id="21" name="human_inheritance_genotype_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bfabe58d9bbf4ab4" /></ns0:Relationships>
</file>

<file path=xl/worksheets/_rels/sheet2.xml.rels><?xml version='1.0' encoding='utf-8'?>
<ns0:Relationships xmlns:ns0="http://schemas.openxmlformats.org/package/2006/relationships"><ns0:Relationship Id="rIdTemporalLiterature0" Type="http://schemas.openxmlformats.org/officeDocument/2006/relationships/hyperlink" Target="https://pubmed.ncbi.nlm.nih.gov/40081374/" TargetMode="External" /><ns0:Relationship Id="rIdTemporalLiterature1" Type="http://schemas.openxmlformats.org/officeDocument/2006/relationships/hyperlink" Target="https://pubmed.ncbi.nlm.nih.gov/41830174/" TargetMode="External" /><ns0:Relationship Id="rIdTemporalLiterature2" Type="http://schemas.openxmlformats.org/officeDocument/2006/relationships/hyperlink" Target="https://pubmed.ncbi.nlm.nih.gov/42568187/" TargetMode="External" /><ns0:Relationship Id="rIdTemporalLiterature4" Type="http://schemas.openxmlformats.org/officeDocument/2006/relationships/hyperlink" Target="https://pubmed.ncbi.nlm.nih.gov/35278131/" TargetMode="External" /><ns0:Relationship Id="rIdTemporalLiterature5" Type="http://schemas.openxmlformats.org/officeDocument/2006/relationships/hyperlink" Target="https://pubmed.ncbi.nlm.nih.gov/36300302/" TargetMode="External" /><ns0:Relationship Id="rIdTemporalLiterature7" Type="http://schemas.openxmlformats.org/officeDocument/2006/relationships/hyperlink" Target="https://pubmed.ncbi.nlm.nih.gov/33389130/" TargetMode="External" /><ns0:Relationship Id="rIdTemporalLiterature9" Type="http://schemas.openxmlformats.org/officeDocument/2006/relationships/hyperlink" Target="https://pubmed.ncbi.nlm.nih.gov/40079362/" TargetMode="External" /><ns0:Relationship Id="rIdTemporalLiterature10" Type="http://schemas.openxmlformats.org/officeDocument/2006/relationships/hyperlink" Target="https://pubmed.ncbi.nlm.nih.gov/40744518/" TargetMode="External" /><ns0:Relationship Id="rIdTemporalLiterature12" Type="http://schemas.openxmlformats.org/officeDocument/2006/relationships/hyperlink" Target="https://pubmed.ncbi.nlm.nih.gov/41105778/" TargetMode="External" /><ns0:Relationship Id="rIdTemporalLiterature14" Type="http://schemas.openxmlformats.org/officeDocument/2006/relationships/hyperlink" Target="https://pubmed.ncbi.nlm.nih.gov/37725231/" TargetMode="External" /><ns0:Relationship Id="rIdTemporalLiterature15" Type="http://schemas.openxmlformats.org/officeDocument/2006/relationships/hyperlink" Target="https://pubmed.ncbi.nlm.nih.gov/39362668/" TargetMode="External" /><ns0:Relationship Id="rIdTemporalLiterature17" Type="http://schemas.openxmlformats.org/officeDocument/2006/relationships/hyperlink" Target="https://pubmed.ncbi.nlm.nih.gov/35331648/" TargetMode="External" /><ns0:Relationship Id="rIdTemporalLiterature19" Type="http://schemas.openxmlformats.org/officeDocument/2006/relationships/hyperlink" Target="https://pubmed.ncbi.nlm.nih.gov/36266294/" TargetMode="External" /><ns0:Relationship Id="rIdTemporalLiterature21" Type="http://schemas.openxmlformats.org/officeDocument/2006/relationships/hyperlink" Target="https://pubmed.ncbi.nlm.nih.gov/40674075/" TargetMode="External" /><ns0:Relationship Id="rIdTemporalLiterature23" Type="http://schemas.openxmlformats.org/officeDocument/2006/relationships/hyperlink" Target="https://pubmed.ncbi.nlm.nih.gov/35147173/" TargetMode="External" /><ns0:Relationship Id="rIdTemporalLiterature25" Type="http://schemas.openxmlformats.org/officeDocument/2006/relationships/hyperlink" Target="https://pubmed.ncbi.nlm.nih.gov/35700046/" TargetMode="External" /><ns0:Relationship Id="rIdTemporalLiterature27" Type="http://schemas.openxmlformats.org/officeDocument/2006/relationships/hyperlink" Target="https://pubmed.ncbi.nlm.nih.gov/38821050/" TargetMode="External" /><ns0:Relationship Id="rIdTemporalLiterature29" Type="http://schemas.openxmlformats.org/officeDocument/2006/relationships/hyperlink" Target="https://pubmed.ncbi.nlm.nih.gov/33465056/" TargetMode="External" /><ns0:Relationship Id="rIdTemporalLiterature31" Type="http://schemas.openxmlformats.org/officeDocument/2006/relationships/hyperlink" Target="https://pubmed.ncbi.nlm.nih.gov/36727596/" TargetMode="External" /><ns0:Relationship Id="rIdTemporalLiterature33" Type="http://schemas.openxmlformats.org/officeDocument/2006/relationships/hyperlink" Target="https://pubmed.ncbi.nlm.nih.gov/41720098/" TargetMode="External" /><ns0:Relationship Id="rIdTemporalLiterature34" Type="http://schemas.openxmlformats.org/officeDocument/2006/relationships/hyperlink" Target="https://pubmed.ncbi.nlm.nih.gov/41720099/" TargetMode="External" /><ns0:Relationship Id="rIdTemporalLiterature36" Type="http://schemas.openxmlformats.org/officeDocument/2006/relationships/hyperlink" Target="https://pubmed.ncbi.nlm.nih.gov/39572588/" TargetMode="External" /><ns0:Relationship Id="rIdTemporalLiterature38" Type="http://schemas.openxmlformats.org/officeDocument/2006/relationships/hyperlink" Target="https://pubmed.ncbi.nlm.nih.gov/36928819/" TargetMode="External" /><ns0:Relationship Id="rIdTemporalLiterature40" Type="http://schemas.openxmlformats.org/officeDocument/2006/relationships/hyperlink" Target="https://pubmed.ncbi.nlm.nih.gov/40119724/" TargetMode="External" /><ns0:Relationship Id="rIdTemporalLiterature42" Type="http://schemas.openxmlformats.org/officeDocument/2006/relationships/hyperlink" Target="https://pubmed.ncbi.nlm.nih.gov/37054711/" TargetMode="External" /><ns0:Relationship Id="rIdTemporalLiterature43" Type="http://schemas.openxmlformats.org/officeDocument/2006/relationships/hyperlink" Target="https://pubmed.ncbi.nlm.nih.gov/37980560/" TargetMode="External" /><ns0:Relationship Id="rIdTemporalLiterature44" Type="http://schemas.openxmlformats.org/officeDocument/2006/relationships/hyperlink" Target="https://pubmed.ncbi.nlm.nih.gov/41810893/" TargetMode="External" /><ns0:Relationship Id="rIdTemporalLiterature46" Type="http://schemas.openxmlformats.org/officeDocument/2006/relationships/hyperlink" Target="https://pubmed.ncbi.nlm.nih.gov/33811157/" TargetMode="External" /><ns0:Relationship Id="rIdTemporalLiterature47" Type="http://schemas.openxmlformats.org/officeDocument/2006/relationships/hyperlink" Target="https://pubmed.ncbi.nlm.nih.gov/33840812/" TargetMode="External" /><ns0:Relationship Id="rIdTemporalLiterature49" Type="http://schemas.openxmlformats.org/officeDocument/2006/relationships/hyperlink" Target="https://pubmed.ncbi.nlm.nih.gov/35727972/" TargetMode="External" /><ns0:Relationship Id="rIdTemporalLiterature51" Type="http://schemas.openxmlformats.org/officeDocument/2006/relationships/hyperlink" Target="https://pubmed.ncbi.nlm.nih.gov/33855352/" TargetMode="External" /><ns0:Relationship Id="rIdTemporalLiterature53" Type="http://schemas.openxmlformats.org/officeDocument/2006/relationships/hyperlink" Target="https://pubmed.ncbi.nlm.nih.gov/40043708/" TargetMode="External" /><ns0:Relationship Id="rIdTemporalLiterature55" Type="http://schemas.openxmlformats.org/officeDocument/2006/relationships/hyperlink" Target="https://pubmed.ncbi.nlm.nih.gov/33495992/" TargetMode="External" /><ns0:Relationship Id="rIdTemporalLiterature56" Type="http://schemas.openxmlformats.org/officeDocument/2006/relationships/hyperlink" Target="https://pubmed.ncbi.nlm.nih.gov/35856135/" TargetMode="External" /><ns0:Relationship Id="rIdTemporalLiterature57" Type="http://schemas.openxmlformats.org/officeDocument/2006/relationships/hyperlink" Target="https://pubmed.ncbi.nlm.nih.gov/40974269/" TargetMode="External" /><ns0:Relationship Id="rIdTemporalLiterature59" Type="http://schemas.openxmlformats.org/officeDocument/2006/relationships/hyperlink" Target="https://pubmed.ncbi.nlm.nih.gov/38459354/" TargetMode="External" /><ns0:Relationship Id="rIdTemporalLiterature61" Type="http://schemas.openxmlformats.org/officeDocument/2006/relationships/hyperlink" Target="https://pubmed.ncbi.nlm.nih.gov/37422272/" TargetMode="External" /><ns0:Relationship Id="rIdTemporalLiterature62" Type="http://schemas.openxmlformats.org/officeDocument/2006/relationships/hyperlink" Target="https://pubmed.ncbi.nlm.nih.gov/40862571/" TargetMode="External" /><ns0:Relationship Id="rIdTemporalLiterature64" Type="http://schemas.openxmlformats.org/officeDocument/2006/relationships/hyperlink" Target="https://pubmed.ncbi.nlm.nih.gov/39132680/" TargetMode="External" /><ns0:Relationship Id="rIdTemporalLiterature66" Type="http://schemas.openxmlformats.org/officeDocument/2006/relationships/hyperlink" Target="https://pubmed.ncbi.nlm.nih.gov/39106866/" TargetMode="External" /><ns0:Relationship Id="rIdTemporalLiterature68" Type="http://schemas.openxmlformats.org/officeDocument/2006/relationships/hyperlink" Target="https://pubmed.ncbi.nlm.nih.gov/33964137/" TargetMode="External" /><ns0:Relationship Id="rIdTemporalLiterature70" Type="http://schemas.openxmlformats.org/officeDocument/2006/relationships/hyperlink" Target="https://pubmed.ncbi.nlm.nih.gov/41513982/" TargetMode="External" /><ns0:Relationship Id="rIdTemporalLiterature72" Type="http://schemas.openxmlformats.org/officeDocument/2006/relationships/hyperlink" Target="https://pubmed.ncbi.nlm.nih.gov/41513982/" TargetMode="External" /><ns0:Relationship Id="rIdTemporalLiterature74" Type="http://schemas.openxmlformats.org/officeDocument/2006/relationships/hyperlink" Target="https://pubmed.ncbi.nlm.nih.gov/41513982/" TargetMode="External" /><ns0:Relationship Id="rIdTemporalLiterature76" Type="http://schemas.openxmlformats.org/officeDocument/2006/relationships/hyperlink" Target="https://pubmed.ncbi.nlm.nih.gov/41513982/" TargetMode="External" /><ns0:Relationship Id="rIdTemporalLiterature78" Type="http://schemas.openxmlformats.org/officeDocument/2006/relationships/hyperlink" Target="https://pubmed.ncbi.nlm.nih.gov/40593758/" TargetMode="External" /><ns0:Relationship Id="rIdTemporalLiterature80" Type="http://schemas.openxmlformats.org/officeDocument/2006/relationships/hyperlink" Target="https://pubmed.ncbi.nlm.nih.gov/41742423/" TargetMode="External" /><ns0:Relationship Id="rIdTemporalLiterature82" Type="http://schemas.openxmlformats.org/officeDocument/2006/relationships/hyperlink" Target="https://pubmed.ncbi.nlm.nih.gov/36084634/" TargetMode="External" /><ns0:Relationship Id="rIdTemporalLiterature83" Type="http://schemas.openxmlformats.org/officeDocument/2006/relationships/hyperlink" Target="https://pubmed.ncbi.nlm.nih.gov/41291844/" TargetMode="External" /><ns0:Relationship Id="rIdTemporalLiterature85" Type="http://schemas.openxmlformats.org/officeDocument/2006/relationships/hyperlink" Target="https://pubmed.ncbi.nlm.nih.gov/35486108/" TargetMode="External" /><ns0:Relationship Id="rIdTemporalLiterature86" Type="http://schemas.openxmlformats.org/officeDocument/2006/relationships/hyperlink" Target="https://pubmed.ncbi.nlm.nih.gov/39669628/" TargetMode="External" /><ns0:Relationship Id="rIdTemporalLiterature88" Type="http://schemas.openxmlformats.org/officeDocument/2006/relationships/hyperlink" Target="https://pubmed.ncbi.nlm.nih.gov/34626583/" TargetMode="External" /><ns0:Relationship Id="rIdTemporalLiterature89" Type="http://schemas.openxmlformats.org/officeDocument/2006/relationships/hyperlink" Target="https://pubmed.ncbi.nlm.nih.gov/37902276/" TargetMode="External" /><ns0:Relationship Id="rIdTemporalLiterature91" Type="http://schemas.openxmlformats.org/officeDocument/2006/relationships/hyperlink" Target="https://pubmed.ncbi.nlm.nih.gov/33974130/" TargetMode="External" /><ns0:Relationship Id="rIdTemporalLiterature93" Type="http://schemas.openxmlformats.org/officeDocument/2006/relationships/hyperlink" Target="https://pubmed.ncbi.nlm.nih.gov/41308066/" TargetMode="External" /><ns0:Relationship Id="rIdTemporalLiterature95" Type="http://schemas.openxmlformats.org/officeDocument/2006/relationships/hyperlink" Target="https://pubmed.ncbi.nlm.nih.gov/34077761/" TargetMode="External" /><ns0:Relationship Id="rIdTemporalLiterature97" Type="http://schemas.openxmlformats.org/officeDocument/2006/relationships/hyperlink" Target="https://pubmed.ncbi.nlm.nih.gov/38293907/" TargetMode="External" /><ns0:Relationship Id="rIdTemporalLiterature99" Type="http://schemas.openxmlformats.org/officeDocument/2006/relationships/hyperlink" Target="https://pubmed.ncbi.nlm.nih.gov/34059922/" TargetMode="External" /><ns0:Relationship Id="rIdTemporalLiterature101" Type="http://schemas.openxmlformats.org/officeDocument/2006/relationships/hyperlink" Target="https://pubmed.ncbi.nlm.nih.gov/34660594/" TargetMode="External" /><ns0:Relationship Id="rIdTemporalLiterature102" Type="http://schemas.openxmlformats.org/officeDocument/2006/relationships/hyperlink" Target="https://pubmed.ncbi.nlm.nih.gov/37012052/" TargetMode="External" /><ns0:Relationship Id="rIdTemporalLiterature103" Type="http://schemas.openxmlformats.org/officeDocument/2006/relationships/hyperlink" Target="https://pubmed.ncbi.nlm.nih.gov/40638000/" TargetMode="External" /><ns0:Relationship Id="rIdTemporalLiterature105" Type="http://schemas.openxmlformats.org/officeDocument/2006/relationships/hyperlink" Target="https://pubmed.ncbi.nlm.nih.gov/42530953/" TargetMode="External" /></ns0: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1857b54f2c4bd0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4C72"/>
  </sheetPr>
  <sheetViews>
    <sheetView showGridLines="0" workbookViewId="0">
      <pane xSplit="2" ySplit="8" topLeftCell="C9" activePane="bottomRight" state="frozen"/>
    </sheetView>
  </sheetViews>
  <sheetFormatPr defaultRowHeight="15"/>
  <cols>
    <col min="1" max="1" width="18" hidden="0" customWidth="1"/>
    <col min="2" max="2" width="19" hidden="0" customWidth="1"/>
    <col min="3" max="3" width="20" hidden="0" customWidth="1"/>
    <col min="4" max="4" width="18" hidden="0" customWidth="1"/>
    <col min="5" max="5" width="19" hidden="0" customWidth="1"/>
    <col min="6" max="6" width="15" hidden="0" customWidth="1"/>
    <col min="7" max="7" width="19" hidden="0" customWidth="1"/>
    <col min="8" max="8" width="55" hidden="0" customWidth="1"/>
    <col min="9" max="9" width="55" hidden="0" customWidth="1"/>
    <col min="10" max="10" width="18" hidden="0" customWidth="1"/>
    <col min="11" max="11" width="13" hidden="0" customWidth="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30" customHeight="1">
      <c r="A2" s="3" t="str">
        <v>Temporal cohort — author verification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2" t="str">
        <v>45 gene–disease records. AI screening remains provisional; yellow cells are author inputs.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>
      <c r="A4" s="2" t="str">
        <v>Click a gene to open its evidence card. Record source locations, genotype evidence and any changed date.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2" t="str">
        <v>Eligibility pending</v>
      </c>
      <c r="B5" s="2" t="n">
        <f>COUNTIFS(C9:C53,"PENDING")</f>
        <v>45</v>
      </c>
      <c r="C5" s="2" t="str">
        <v>Date pending</v>
      </c>
      <c r="D5" s="2" t="n">
        <f>COUNTIFS(D9:D53,"PENDING")</f>
        <v>45</v>
      </c>
      <c r="E5" s="2"/>
      <c r="F5" s="2" t="str">
        <v>These counts are decisions pending, not completed human reviews.</v>
      </c>
      <c r="G5" s="2"/>
      <c r="H5" s="2"/>
      <c r="I5" s="2"/>
      <c r="J5" s="2"/>
      <c r="K5" s="2"/>
    </row>
    <row r="6">
      <c r="A6" s="2" t="str">
        <v>Include/Exclude = eligibility decision; CONFIRMED/REVISED = source date decision. UNCERTAIN remains unresolved.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ht="48" customHeight="1">
      <c r="A8" s="8" t="str">
        <v>Gene / evidence</v>
      </c>
      <c r="B8" s="8" t="str">
        <v>Gene key</v>
      </c>
      <c r="C8" s="8" t="str">
        <v>Eligibility decision</v>
      </c>
      <c r="D8" s="8" t="str">
        <v>Date decision</v>
      </c>
      <c r="E8" s="8" t="str">
        <v>Reviewer</v>
      </c>
      <c r="F8" s="8" t="str">
        <v>Review date</v>
      </c>
      <c r="G8" s="8" t="str">
        <v>Verified association date</v>
      </c>
      <c r="H8" s="8" t="str">
        <v>Eligibility/date notes + source location</v>
      </c>
      <c r="I8" s="8" t="str">
        <v>Case-specific inheritance / genotype + source location</v>
      </c>
      <c r="J8" s="8" t="str">
        <v>AI located date</v>
      </c>
      <c r="K8" s="8" t="str">
        <v>AI novelty</v>
      </c>
    </row>
    <row r="9" ht="90" customHeight="1">
      <c r="A9" s="14" t="str">
        <v>AP5B1</v>
      </c>
      <c r="B9" s="2" t="str">
        <v>HGNC:25104</v>
      </c>
      <c r="C9" s="15" t="str">
        <v>PENDING</v>
      </c>
      <c r="D9" s="15" t="str">
        <v>PENDING</v>
      </c>
      <c r="E9" s="15"/>
      <c r="F9" s="17"/>
      <c r="G9" s="17"/>
      <c r="H9" s="16"/>
      <c r="I9" s="16" t="str">
        <v>PENDING: record case-specific inheritance, segregating variants and source location</v>
      </c>
      <c r="J9" s="18" t="n">
        <v>45728</v>
      </c>
      <c r="K9" s="2" t="str">
        <v>A</v>
      </c>
    </row>
    <row r="10" ht="90" customHeight="1">
      <c r="A10" s="14" t="str">
        <v>ATP11A</v>
      </c>
      <c r="B10" s="2" t="str">
        <v>HGNC:13552</v>
      </c>
      <c r="C10" s="15" t="str">
        <v>PENDING</v>
      </c>
      <c r="D10" s="15" t="str">
        <v>PENDING</v>
      </c>
      <c r="E10" s="15"/>
      <c r="F10" s="17"/>
      <c r="G10" s="17"/>
      <c r="H10" s="16"/>
      <c r="I10" s="16" t="str">
        <v>PENDING: record case-specific inheritance, segregating variants and source location</v>
      </c>
      <c r="J10" s="18" t="n">
        <v>44344</v>
      </c>
      <c r="K10" s="2" t="str">
        <v>A</v>
      </c>
    </row>
    <row r="11" ht="90" customHeight="1">
      <c r="A11" s="14" t="str">
        <v>BRWD1</v>
      </c>
      <c r="B11" s="2" t="str">
        <v>HGNC:12760</v>
      </c>
      <c r="C11" s="15" t="str">
        <v>PENDING</v>
      </c>
      <c r="D11" s="15" t="str">
        <v>PENDING</v>
      </c>
      <c r="E11" s="15"/>
      <c r="F11" s="17"/>
      <c r="G11" s="17"/>
      <c r="H11" s="16"/>
      <c r="I11" s="16" t="str">
        <v>PENDING: record case-specific inheritance, segregating variants and source location</v>
      </c>
      <c r="J11" s="18" t="n">
        <v>44199</v>
      </c>
      <c r="K11" s="2" t="str">
        <v>A</v>
      </c>
    </row>
    <row r="12" ht="90" customHeight="1">
      <c r="A12" s="14" t="str">
        <v>C19orf44</v>
      </c>
      <c r="B12" s="2" t="str">
        <v>HGNC:26141</v>
      </c>
      <c r="C12" s="15" t="str">
        <v>PENDING</v>
      </c>
      <c r="D12" s="15" t="str">
        <v>PENDING</v>
      </c>
      <c r="E12" s="15"/>
      <c r="F12" s="17"/>
      <c r="G12" s="17"/>
      <c r="H12" s="16"/>
      <c r="I12" s="16" t="str">
        <v>PENDING: record case-specific inheritance, segregating variants and source location</v>
      </c>
      <c r="J12" s="18" t="n">
        <v>45726</v>
      </c>
      <c r="K12" s="2" t="str">
        <v>A</v>
      </c>
    </row>
    <row r="13" ht="90" customHeight="1">
      <c r="A13" s="14" t="str">
        <v>CEP76</v>
      </c>
      <c r="B13" s="2" t="str">
        <v>HGNC:25727</v>
      </c>
      <c r="C13" s="15" t="str">
        <v>PENDING</v>
      </c>
      <c r="D13" s="15" t="str">
        <v>PENDING</v>
      </c>
      <c r="E13" s="15"/>
      <c r="F13" s="17"/>
      <c r="G13" s="17"/>
      <c r="H13" s="16"/>
      <c r="I13" s="16" t="str">
        <v>PENDING: record case-specific inheritance, segregating variants and source location</v>
      </c>
      <c r="J13" s="18" t="n">
        <v>45947</v>
      </c>
      <c r="K13" s="2" t="str">
        <v>A</v>
      </c>
    </row>
    <row r="14" ht="90" customHeight="1">
      <c r="A14" s="14" t="str">
        <v>CFAP54</v>
      </c>
      <c r="B14" s="2" t="str">
        <v>HGNC:26456</v>
      </c>
      <c r="C14" s="15" t="str">
        <v>PENDING</v>
      </c>
      <c r="D14" s="15" t="str">
        <v>PENDING</v>
      </c>
      <c r="E14" s="15"/>
      <c r="F14" s="17"/>
      <c r="G14" s="17"/>
      <c r="H14" s="16"/>
      <c r="I14" s="16" t="str">
        <v>PENDING: record case-specific inheritance, segregating variants and source location</v>
      </c>
      <c r="J14" s="18" t="n">
        <v>45188</v>
      </c>
      <c r="K14" s="2" t="str">
        <v>A</v>
      </c>
    </row>
    <row r="15" ht="90" customHeight="1">
      <c r="A15" s="14" t="str">
        <v>CLEC3B</v>
      </c>
      <c r="B15" s="2" t="str">
        <v>HGNC:11891</v>
      </c>
      <c r="C15" s="15" t="str">
        <v>PENDING</v>
      </c>
      <c r="D15" s="15" t="str">
        <v>PENDING</v>
      </c>
      <c r="E15" s="15"/>
      <c r="F15" s="17"/>
      <c r="G15" s="17"/>
      <c r="H15" s="16"/>
      <c r="I15" s="16" t="str">
        <v>PENDING: record case-specific inheritance, segregating variants and source location</v>
      </c>
      <c r="J15" s="18" t="n">
        <v>44642</v>
      </c>
      <c r="K15" s="2" t="str">
        <v>A</v>
      </c>
    </row>
    <row r="16" ht="90" customHeight="1">
      <c r="A16" s="14" t="str">
        <v>COQ5</v>
      </c>
      <c r="B16" s="2" t="str">
        <v>HGNC:28722</v>
      </c>
      <c r="C16" s="15" t="str">
        <v>PENDING</v>
      </c>
      <c r="D16" s="15" t="str">
        <v>PENDING</v>
      </c>
      <c r="E16" s="15"/>
      <c r="F16" s="17"/>
      <c r="G16" s="17"/>
      <c r="H16" s="16"/>
      <c r="I16" s="16" t="str">
        <v>PENDING: record case-specific inheritance, segregating variants and source location</v>
      </c>
      <c r="J16" s="18" t="n">
        <v>44854</v>
      </c>
      <c r="K16" s="2" t="str">
        <v>B</v>
      </c>
    </row>
    <row r="17" ht="90" customHeight="1">
      <c r="A17" s="14" t="str">
        <v>CREB3</v>
      </c>
      <c r="B17" s="2" t="str">
        <v>HGNC:2347</v>
      </c>
      <c r="C17" s="15" t="str">
        <v>PENDING</v>
      </c>
      <c r="D17" s="15" t="str">
        <v>PENDING</v>
      </c>
      <c r="E17" s="15"/>
      <c r="F17" s="17"/>
      <c r="G17" s="17"/>
      <c r="H17" s="16"/>
      <c r="I17" s="16" t="str">
        <v>PENDING: record case-specific inheritance, segregating variants and source location</v>
      </c>
      <c r="J17" s="18" t="n">
        <v>45413</v>
      </c>
      <c r="K17" s="2" t="str">
        <v>A</v>
      </c>
    </row>
    <row r="18" ht="90" customHeight="1">
      <c r="A18" s="14" t="str">
        <v>CRLS1</v>
      </c>
      <c r="B18" s="2" t="str">
        <v>HGNC:16148</v>
      </c>
      <c r="C18" s="15" t="str">
        <v>PENDING</v>
      </c>
      <c r="D18" s="15" t="str">
        <v>PENDING</v>
      </c>
      <c r="E18" s="15"/>
      <c r="F18" s="17"/>
      <c r="G18" s="17"/>
      <c r="H18" s="16"/>
      <c r="I18" s="16" t="str">
        <v>PENDING: record case-specific inheritance, segregating variants and source location</v>
      </c>
      <c r="J18" s="18" t="n">
        <v>44603</v>
      </c>
      <c r="K18" s="2" t="str">
        <v>A</v>
      </c>
    </row>
    <row r="19" ht="90" customHeight="1">
      <c r="A19" s="14" t="str">
        <v>CTNND1</v>
      </c>
      <c r="B19" s="2" t="str">
        <v>HGNC:2515</v>
      </c>
      <c r="C19" s="15" t="str">
        <v>PENDING</v>
      </c>
      <c r="D19" s="15" t="str">
        <v>PENDING</v>
      </c>
      <c r="E19" s="15"/>
      <c r="F19" s="17"/>
      <c r="G19" s="17"/>
      <c r="H19" s="16"/>
      <c r="I19" s="16" t="str">
        <v>PENDING: record case-specific inheritance, segregating variants and source location</v>
      </c>
      <c r="J19" s="18" t="n">
        <v>44726</v>
      </c>
      <c r="K19" s="2" t="str">
        <v>B</v>
      </c>
    </row>
    <row r="20" ht="90" customHeight="1">
      <c r="A20" s="14" t="str">
        <v>DHRSX</v>
      </c>
      <c r="B20" s="2" t="str">
        <v>HGNC:18399</v>
      </c>
      <c r="C20" s="15" t="str">
        <v>PENDING</v>
      </c>
      <c r="D20" s="15" t="str">
        <v>PENDING</v>
      </c>
      <c r="E20" s="15"/>
      <c r="F20" s="17"/>
      <c r="G20" s="17"/>
      <c r="H20" s="16"/>
      <c r="I20" s="16" t="str">
        <v>PENDING: record case-specific inheritance, segregating variants and source location</v>
      </c>
      <c r="J20" s="18" t="n">
        <v>45442</v>
      </c>
      <c r="K20" s="2" t="str">
        <v>A</v>
      </c>
    </row>
    <row r="21" ht="90" customHeight="1">
      <c r="A21" s="14" t="str">
        <v>DNAJC30</v>
      </c>
      <c r="B21" s="2" t="str">
        <v>HGNC:16410</v>
      </c>
      <c r="C21" s="15" t="str">
        <v>PENDING</v>
      </c>
      <c r="D21" s="15" t="str">
        <v>PENDING</v>
      </c>
      <c r="E21" s="15"/>
      <c r="F21" s="17"/>
      <c r="G21" s="17"/>
      <c r="H21" s="16"/>
      <c r="I21" s="16" t="str">
        <v>PENDING: record case-specific inheritance, segregating variants and source location</v>
      </c>
      <c r="J21" s="18" t="n">
        <v>44215</v>
      </c>
      <c r="K21" s="2" t="str">
        <v>A</v>
      </c>
    </row>
    <row r="22" ht="90" customHeight="1">
      <c r="A22" s="14" t="str">
        <v>EFCAB1</v>
      </c>
      <c r="B22" s="2" t="str">
        <v>HGNC:25678</v>
      </c>
      <c r="C22" s="15" t="str">
        <v>PENDING</v>
      </c>
      <c r="D22" s="15" t="str">
        <v>PENDING</v>
      </c>
      <c r="E22" s="15"/>
      <c r="F22" s="17"/>
      <c r="G22" s="17"/>
      <c r="H22" s="16"/>
      <c r="I22" s="16" t="str">
        <v>PENDING: record case-specific inheritance, segregating variants and source location</v>
      </c>
      <c r="J22" s="18" t="n">
        <v>44957</v>
      </c>
      <c r="K22" s="2" t="str">
        <v>A</v>
      </c>
    </row>
    <row r="23" ht="90" customHeight="1">
      <c r="A23" s="14" t="str">
        <v>FSD1L</v>
      </c>
      <c r="B23" s="2" t="str">
        <v>HGNC:13753</v>
      </c>
      <c r="C23" s="15" t="str">
        <v>PENDING</v>
      </c>
      <c r="D23" s="15" t="str">
        <v>PENDING</v>
      </c>
      <c r="E23" s="15"/>
      <c r="F23" s="17"/>
      <c r="G23" s="17"/>
      <c r="H23" s="16"/>
      <c r="I23" s="16" t="str">
        <v>PENDING: record case-specific inheritance, segregating variants and source location</v>
      </c>
      <c r="J23" s="18" t="n">
        <v>46072</v>
      </c>
      <c r="K23" s="2" t="str">
        <v>A</v>
      </c>
    </row>
    <row r="24" ht="90" customHeight="1">
      <c r="A24" s="14" t="str">
        <v>GPATCH11</v>
      </c>
      <c r="B24" s="2" t="str">
        <v>HGNC:26768</v>
      </c>
      <c r="C24" s="15" t="str">
        <v>PENDING</v>
      </c>
      <c r="D24" s="15" t="str">
        <v>PENDING</v>
      </c>
      <c r="E24" s="15"/>
      <c r="F24" s="17"/>
      <c r="G24" s="17"/>
      <c r="H24" s="16"/>
      <c r="I24" s="16" t="str">
        <v>PENDING: record case-specific inheritance, segregating variants and source location</v>
      </c>
      <c r="J24" s="18" t="n">
        <v>45159</v>
      </c>
      <c r="K24" s="2" t="str">
        <v>A</v>
      </c>
    </row>
    <row r="25" ht="90" customHeight="1">
      <c r="A25" s="14" t="str">
        <v>GPR156</v>
      </c>
      <c r="B25" s="2" t="str">
        <v>HGNC:20844</v>
      </c>
      <c r="C25" s="15" t="str">
        <v>PENDING</v>
      </c>
      <c r="D25" s="15" t="str">
        <v>PENDING</v>
      </c>
      <c r="E25" s="15"/>
      <c r="F25" s="17"/>
      <c r="G25" s="17"/>
      <c r="H25" s="16"/>
      <c r="I25" s="16" t="str">
        <v>PENDING: record case-specific inheritance, segregating variants and source location</v>
      </c>
      <c r="J25" s="18" t="n">
        <v>45001</v>
      </c>
      <c r="K25" s="2" t="str">
        <v>A</v>
      </c>
    </row>
    <row r="26" ht="90" customHeight="1">
      <c r="A26" s="14" t="str">
        <v>IDH3G</v>
      </c>
      <c r="B26" s="2" t="str">
        <v>HGNC:5386</v>
      </c>
      <c r="C26" s="15" t="str">
        <v>PENDING</v>
      </c>
      <c r="D26" s="15" t="str">
        <v>PENDING</v>
      </c>
      <c r="E26" s="15"/>
      <c r="F26" s="17"/>
      <c r="G26" s="17"/>
      <c r="H26" s="16"/>
      <c r="I26" s="16" t="str">
        <v>PENDING: record case-specific inheritance, segregating variants and source location</v>
      </c>
      <c r="J26" s="18" t="n">
        <v>45735</v>
      </c>
      <c r="K26" s="2" t="str">
        <v>A</v>
      </c>
    </row>
    <row r="27" ht="90" customHeight="1">
      <c r="A27" s="14" t="str">
        <v>INTS11</v>
      </c>
      <c r="B27" s="2" t="str">
        <v>HGNC:26052</v>
      </c>
      <c r="C27" s="15" t="str">
        <v>PENDING</v>
      </c>
      <c r="D27" s="15" t="str">
        <v>PENDING</v>
      </c>
      <c r="E27" s="15"/>
      <c r="F27" s="17"/>
      <c r="G27" s="17"/>
      <c r="H27" s="16"/>
      <c r="I27" s="16" t="str">
        <v>PENDING: record case-specific inheritance, segregating variants and source location</v>
      </c>
      <c r="J27" s="18" t="n">
        <v>45028</v>
      </c>
      <c r="K27" s="2" t="str">
        <v>A</v>
      </c>
    </row>
    <row r="28" ht="90" customHeight="1">
      <c r="A28" s="14" t="str">
        <v>KCNJ16</v>
      </c>
      <c r="B28" s="2" t="str">
        <v>HGNC:6262</v>
      </c>
      <c r="C28" s="15" t="str">
        <v>PENDING</v>
      </c>
      <c r="D28" s="15" t="str">
        <v>PENDING</v>
      </c>
      <c r="E28" s="15"/>
      <c r="F28" s="17"/>
      <c r="G28" s="17"/>
      <c r="H28" s="16"/>
      <c r="I28" s="16" t="str">
        <v>PENDING: record case-specific inheritance, segregating variants and source location</v>
      </c>
      <c r="J28" s="18" t="n">
        <v>44288</v>
      </c>
      <c r="K28" s="2" t="str">
        <v>A</v>
      </c>
    </row>
    <row r="29" ht="90" customHeight="1">
      <c r="A29" s="14" t="str">
        <v>KIAA1024L</v>
      </c>
      <c r="B29" s="2" t="str">
        <v>HGNC:33914</v>
      </c>
      <c r="C29" s="15" t="str">
        <v>PENDING</v>
      </c>
      <c r="D29" s="15" t="str">
        <v>PENDING</v>
      </c>
      <c r="E29" s="15"/>
      <c r="F29" s="17"/>
      <c r="G29" s="17"/>
      <c r="H29" s="16"/>
      <c r="I29" s="16" t="str">
        <v>PENDING: record case-specific inheritance, segregating variants and source location</v>
      </c>
      <c r="J29" s="18" t="n">
        <v>44733</v>
      </c>
      <c r="K29" s="2" t="str">
        <v>A</v>
      </c>
    </row>
    <row r="30" ht="90" customHeight="1">
      <c r="A30" s="14" t="str">
        <v>LIG3</v>
      </c>
      <c r="B30" s="2" t="str">
        <v>HGNC:6600</v>
      </c>
      <c r="C30" s="15" t="str">
        <v>PENDING</v>
      </c>
      <c r="D30" s="15" t="str">
        <v>PENDING</v>
      </c>
      <c r="E30" s="15"/>
      <c r="F30" s="17"/>
      <c r="G30" s="17"/>
      <c r="H30" s="16"/>
      <c r="I30" s="16" t="str">
        <v>PENDING: record case-specific inheritance, segregating variants and source location</v>
      </c>
      <c r="J30" s="18" t="n">
        <v>44301</v>
      </c>
      <c r="K30" s="2" t="str">
        <v>A</v>
      </c>
    </row>
    <row r="31" ht="90" customHeight="1">
      <c r="A31" s="14" t="str">
        <v>MRPL49</v>
      </c>
      <c r="B31" s="2" t="str">
        <v>HGNC:1176</v>
      </c>
      <c r="C31" s="15" t="str">
        <v>PENDING</v>
      </c>
      <c r="D31" s="15" t="str">
        <v>PENDING</v>
      </c>
      <c r="E31" s="15"/>
      <c r="F31" s="17"/>
      <c r="G31" s="17"/>
      <c r="H31" s="16"/>
      <c r="I31" s="16" t="str">
        <v>PENDING: record case-specific inheritance, segregating variants and source location</v>
      </c>
      <c r="J31" s="18" t="n">
        <v>45576</v>
      </c>
      <c r="K31" s="2" t="str">
        <v>A</v>
      </c>
    </row>
    <row r="32" ht="90" customHeight="1">
      <c r="A32" s="14" t="str">
        <v>PDIA6</v>
      </c>
      <c r="B32" s="2" t="str">
        <v>HGNC:30168</v>
      </c>
      <c r="C32" s="15" t="str">
        <v>PENDING</v>
      </c>
      <c r="D32" s="15" t="str">
        <v>PENDING</v>
      </c>
      <c r="E32" s="15"/>
      <c r="F32" s="17"/>
      <c r="G32" s="17"/>
      <c r="H32" s="16"/>
      <c r="I32" s="16" t="str">
        <v>PENDING: record case-specific inheritance, segregating variants and source location</v>
      </c>
      <c r="J32" s="18" t="n">
        <v>44222</v>
      </c>
      <c r="K32" s="2" t="str">
        <v>A</v>
      </c>
    </row>
    <row r="33" ht="90" customHeight="1">
      <c r="A33" s="14" t="str">
        <v>PKHD1L1</v>
      </c>
      <c r="B33" s="2" t="str">
        <v>HGNC:20313</v>
      </c>
      <c r="C33" s="15" t="str">
        <v>PENDING</v>
      </c>
      <c r="D33" s="15" t="str">
        <v>PENDING</v>
      </c>
      <c r="E33" s="15"/>
      <c r="F33" s="17"/>
      <c r="G33" s="17"/>
      <c r="H33" s="16"/>
      <c r="I33" s="16" t="str">
        <v>PENDING: record case-specific inheritance, segregating variants and source location</v>
      </c>
      <c r="J33" s="18" t="n">
        <v>45208</v>
      </c>
      <c r="K33" s="2" t="str">
        <v>A</v>
      </c>
    </row>
    <row r="34" ht="90" customHeight="1">
      <c r="A34" s="14" t="str">
        <v>PLCG1</v>
      </c>
      <c r="B34" s="2" t="str">
        <v>HGNC:9065</v>
      </c>
      <c r="C34" s="15" t="str">
        <v>PENDING</v>
      </c>
      <c r="D34" s="15" t="str">
        <v>PENDING</v>
      </c>
      <c r="E34" s="15"/>
      <c r="F34" s="17"/>
      <c r="G34" s="17"/>
      <c r="H34" s="16"/>
      <c r="I34" s="16" t="str">
        <v>PENDING: record case-specific inheritance, segregating variants and source location</v>
      </c>
      <c r="J34" s="18" t="n">
        <v>45300</v>
      </c>
      <c r="K34" s="2" t="str">
        <v>B</v>
      </c>
    </row>
    <row r="35" ht="90" customHeight="1">
      <c r="A35" s="14" t="str">
        <v>PSKH1</v>
      </c>
      <c r="B35" s="2" t="str">
        <v>HGNC:9529</v>
      </c>
      <c r="C35" s="15" t="str">
        <v>PENDING</v>
      </c>
      <c r="D35" s="15" t="str">
        <v>PENDING</v>
      </c>
      <c r="E35" s="15"/>
      <c r="F35" s="17"/>
      <c r="G35" s="17"/>
      <c r="H35" s="16"/>
      <c r="I35" s="16" t="str">
        <v>PENDING: record case-specific inheritance, segregating variants and source location</v>
      </c>
      <c r="J35" s="18" t="n">
        <v>45513</v>
      </c>
      <c r="K35" s="2" t="str">
        <v>A</v>
      </c>
    </row>
    <row r="36" ht="90" customHeight="1">
      <c r="A36" s="14" t="str">
        <v>RFC4</v>
      </c>
      <c r="B36" s="2" t="str">
        <v>HGNC:9972</v>
      </c>
      <c r="C36" s="15" t="str">
        <v>PENDING</v>
      </c>
      <c r="D36" s="15" t="str">
        <v>PENDING</v>
      </c>
      <c r="E36" s="15"/>
      <c r="F36" s="17"/>
      <c r="G36" s="17"/>
      <c r="H36" s="16"/>
      <c r="I36" s="16" t="str">
        <v>PENDING: record case-specific inheritance, segregating variants and source location</v>
      </c>
      <c r="J36" s="18" t="n">
        <v>45509</v>
      </c>
      <c r="K36" s="2" t="str">
        <v>A</v>
      </c>
    </row>
    <row r="37" ht="90" customHeight="1">
      <c r="A37" s="14" t="str">
        <v>RNF220</v>
      </c>
      <c r="B37" s="2" t="str">
        <v>HGNC:25552</v>
      </c>
      <c r="C37" s="15" t="str">
        <v>PENDING</v>
      </c>
      <c r="D37" s="15" t="str">
        <v>PENDING</v>
      </c>
      <c r="E37" s="15"/>
      <c r="F37" s="17"/>
      <c r="G37" s="17"/>
      <c r="H37" s="16"/>
      <c r="I37" s="16" t="str">
        <v>PENDING: record case-specific inheritance, segregating variants and source location</v>
      </c>
      <c r="J37" s="18" t="n">
        <v>44324</v>
      </c>
      <c r="K37" s="2" t="str">
        <v>A</v>
      </c>
    </row>
    <row r="38" ht="90" customHeight="1">
      <c r="A38" s="14" t="str">
        <v>RNU4-2</v>
      </c>
      <c r="B38" s="2" t="str">
        <v>HGNC:10193</v>
      </c>
      <c r="C38" s="15" t="str">
        <v>PENDING</v>
      </c>
      <c r="D38" s="15" t="str">
        <v>PENDING</v>
      </c>
      <c r="E38" s="15"/>
      <c r="F38" s="17"/>
      <c r="G38" s="17"/>
      <c r="H38" s="16"/>
      <c r="I38" s="16" t="str">
        <v>PENDING: record case-specific inheritance, segregating variants and source location</v>
      </c>
      <c r="J38" s="18" t="n">
        <v>45663</v>
      </c>
      <c r="K38" s="2" t="str">
        <v>B</v>
      </c>
    </row>
    <row r="39" ht="90" customHeight="1">
      <c r="A39" s="14" t="str">
        <v>RNU6-2</v>
      </c>
      <c r="B39" s="2" t="str">
        <v>HGNC:34270</v>
      </c>
      <c r="C39" s="15" t="str">
        <v>PENDING</v>
      </c>
      <c r="D39" s="15" t="str">
        <v>PENDING</v>
      </c>
      <c r="E39" s="15"/>
      <c r="F39" s="17"/>
      <c r="G39" s="17"/>
      <c r="H39" s="16"/>
      <c r="I39" s="16" t="str">
        <v>PENDING: record case-specific inheritance, segregating variants and source location</v>
      </c>
      <c r="J39" s="18" t="n">
        <v>45663</v>
      </c>
      <c r="K39" s="2" t="str">
        <v>A</v>
      </c>
    </row>
    <row r="40" ht="90" customHeight="1">
      <c r="A40" s="14" t="str">
        <v>RNU6-8</v>
      </c>
      <c r="B40" s="2" t="str">
        <v>HGNC:34285</v>
      </c>
      <c r="C40" s="15" t="str">
        <v>PENDING</v>
      </c>
      <c r="D40" s="15" t="str">
        <v>PENDING</v>
      </c>
      <c r="E40" s="15"/>
      <c r="F40" s="17"/>
      <c r="G40" s="17"/>
      <c r="H40" s="16"/>
      <c r="I40" s="16" t="str">
        <v>PENDING: record case-specific inheritance, segregating variants and source location</v>
      </c>
      <c r="J40" s="18" t="n">
        <v>45663</v>
      </c>
      <c r="K40" s="2" t="str">
        <v>A</v>
      </c>
    </row>
    <row r="41" ht="90" customHeight="1">
      <c r="A41" s="14" t="str">
        <v>RNU6-9</v>
      </c>
      <c r="B41" s="2" t="str">
        <v>HGNC:34269</v>
      </c>
      <c r="C41" s="15" t="str">
        <v>PENDING</v>
      </c>
      <c r="D41" s="15" t="str">
        <v>PENDING</v>
      </c>
      <c r="E41" s="15"/>
      <c r="F41" s="17"/>
      <c r="G41" s="17"/>
      <c r="H41" s="16"/>
      <c r="I41" s="16" t="str">
        <v>PENDING: record case-specific inheritance, segregating variants and source location</v>
      </c>
      <c r="J41" s="18" t="n">
        <v>45663</v>
      </c>
      <c r="K41" s="2" t="str">
        <v>A</v>
      </c>
    </row>
    <row r="42" ht="90" customHeight="1">
      <c r="A42" s="14" t="str">
        <v>RSG1</v>
      </c>
      <c r="B42" s="2" t="str">
        <v>HGNC:28127</v>
      </c>
      <c r="C42" s="15" t="str">
        <v>PENDING</v>
      </c>
      <c r="D42" s="15" t="str">
        <v>PENDING</v>
      </c>
      <c r="E42" s="15"/>
      <c r="F42" s="17"/>
      <c r="G42" s="17"/>
      <c r="H42" s="16"/>
      <c r="I42" s="16" t="str">
        <v>PENDING: record case-specific inheritance, segregating variants and source location</v>
      </c>
      <c r="J42" s="18" t="n">
        <v>45561</v>
      </c>
      <c r="K42" s="2" t="str">
        <v>A</v>
      </c>
    </row>
    <row r="43" ht="90" customHeight="1">
      <c r="A43" s="14" t="str">
        <v>SAXO6</v>
      </c>
      <c r="B43" s="2" t="str">
        <v>HGNC:29917</v>
      </c>
      <c r="C43" s="15" t="str">
        <v>PENDING</v>
      </c>
      <c r="D43" s="15" t="str">
        <v>PENDING</v>
      </c>
      <c r="E43" s="15"/>
      <c r="F43" s="17"/>
      <c r="G43" s="17"/>
      <c r="H43" s="16"/>
      <c r="I43" s="16" t="str">
        <v>PENDING: record case-specific inheritance, segregating variants and source location</v>
      </c>
      <c r="J43" s="18" t="n">
        <v>46077</v>
      </c>
      <c r="K43" s="2" t="str">
        <v>A</v>
      </c>
    </row>
    <row r="44" ht="90" customHeight="1">
      <c r="A44" s="14" t="str">
        <v>SCNM1</v>
      </c>
      <c r="B44" s="2" t="str">
        <v>HGNC:23136</v>
      </c>
      <c r="C44" s="15" t="str">
        <v>PENDING</v>
      </c>
      <c r="D44" s="15" t="str">
        <v>PENDING</v>
      </c>
      <c r="E44" s="15"/>
      <c r="F44" s="17"/>
      <c r="G44" s="17"/>
      <c r="H44" s="16"/>
      <c r="I44" s="16" t="str">
        <v>PENDING: record case-specific inheritance, segregating variants and source location</v>
      </c>
      <c r="J44" s="18" t="n">
        <v>44812</v>
      </c>
      <c r="K44" s="2" t="str">
        <v>A</v>
      </c>
    </row>
    <row r="45" ht="90" customHeight="1">
      <c r="A45" s="14" t="str">
        <v>SLC66A1</v>
      </c>
      <c r="B45" s="2" t="str">
        <v>HGNC:26001</v>
      </c>
      <c r="C45" s="15" t="str">
        <v>PENDING</v>
      </c>
      <c r="D45" s="15" t="str">
        <v>PENDING</v>
      </c>
      <c r="E45" s="15"/>
      <c r="F45" s="17"/>
      <c r="G45" s="17"/>
      <c r="H45" s="16"/>
      <c r="I45" s="16" t="str">
        <v>PENDING: record case-specific inheritance, segregating variants and source location</v>
      </c>
      <c r="J45" s="18" t="n">
        <v>44680</v>
      </c>
      <c r="K45" s="2" t="str">
        <v>A</v>
      </c>
    </row>
    <row r="46" ht="90" customHeight="1">
      <c r="A46" s="14" t="str">
        <v>SPATA5L1</v>
      </c>
      <c r="B46" s="2" t="str">
        <v>HGNC:28762</v>
      </c>
      <c r="C46" s="15" t="str">
        <v>PENDING</v>
      </c>
      <c r="D46" s="15" t="str">
        <v>PENDING</v>
      </c>
      <c r="E46" s="15"/>
      <c r="F46" s="17"/>
      <c r="G46" s="17"/>
      <c r="H46" s="16"/>
      <c r="I46" s="16" t="str">
        <v>PENDING: record case-specific inheritance, segregating variants and source location</v>
      </c>
      <c r="J46" s="18" t="n">
        <v>44476</v>
      </c>
      <c r="K46" s="2" t="str">
        <v>A</v>
      </c>
    </row>
    <row r="47" ht="90" customHeight="1">
      <c r="A47" s="14" t="str">
        <v>STX3</v>
      </c>
      <c r="B47" s="2" t="str">
        <v>HGNC:11438</v>
      </c>
      <c r="C47" s="15" t="str">
        <v>PENDING</v>
      </c>
      <c r="D47" s="15" t="str">
        <v>PENDING</v>
      </c>
      <c r="E47" s="15"/>
      <c r="F47" s="17"/>
      <c r="G47" s="17"/>
      <c r="H47" s="16"/>
      <c r="I47" s="16" t="str">
        <v>PENDING: record case-specific inheritance, segregating variants and source location</v>
      </c>
      <c r="J47" s="18" t="n">
        <v>44327</v>
      </c>
      <c r="K47" s="2" t="str">
        <v>B</v>
      </c>
    </row>
    <row r="48" ht="90" customHeight="1">
      <c r="A48" s="14" t="str">
        <v>TMEM72</v>
      </c>
      <c r="B48" s="2" t="str">
        <v>HGNC:31658</v>
      </c>
      <c r="C48" s="15" t="str">
        <v>PENDING</v>
      </c>
      <c r="D48" s="15" t="str">
        <v>PENDING</v>
      </c>
      <c r="E48" s="15"/>
      <c r="F48" s="17"/>
      <c r="G48" s="17"/>
      <c r="H48" s="16"/>
      <c r="I48" s="16" t="str">
        <v>PENDING: record case-specific inheritance, segregating variants and source location</v>
      </c>
      <c r="J48" s="18" t="n">
        <v>44439</v>
      </c>
      <c r="K48" s="2" t="str">
        <v>A</v>
      </c>
    </row>
    <row r="49" ht="90" customHeight="1">
      <c r="A49" s="14" t="str">
        <v>TP73</v>
      </c>
      <c r="B49" s="2" t="str">
        <v>HGNC:12003</v>
      </c>
      <c r="C49" s="15" t="str">
        <v>PENDING</v>
      </c>
      <c r="D49" s="15" t="str">
        <v>PENDING</v>
      </c>
      <c r="E49" s="15"/>
      <c r="F49" s="17"/>
      <c r="G49" s="17"/>
      <c r="H49" s="16"/>
      <c r="I49" s="16" t="str">
        <v>PENDING: record case-specific inheritance, segregating variants and source location</v>
      </c>
      <c r="J49" s="18" t="n">
        <v>44348</v>
      </c>
      <c r="K49" s="2" t="str">
        <v>A</v>
      </c>
    </row>
    <row r="50" ht="90" customHeight="1">
      <c r="A50" s="14" t="str">
        <v>UBAP1L</v>
      </c>
      <c r="B50" s="2" t="str">
        <v>HGNC:40028</v>
      </c>
      <c r="C50" s="15" t="str">
        <v>PENDING</v>
      </c>
      <c r="D50" s="15" t="str">
        <v>PENDING</v>
      </c>
      <c r="E50" s="15"/>
      <c r="F50" s="17"/>
      <c r="G50" s="17"/>
      <c r="H50" s="16"/>
      <c r="I50" s="16" t="str">
        <v>PENDING: record case-specific inheritance, segregating variants and source location</v>
      </c>
      <c r="J50" s="18" t="n">
        <v>45319</v>
      </c>
      <c r="K50" s="2" t="str">
        <v>A</v>
      </c>
    </row>
    <row r="51" ht="90" customHeight="1">
      <c r="A51" s="14" t="str">
        <v>USP48</v>
      </c>
      <c r="B51" s="2" t="str">
        <v>HGNC:18533</v>
      </c>
      <c r="C51" s="15" t="str">
        <v>PENDING</v>
      </c>
      <c r="D51" s="15" t="str">
        <v>PENDING</v>
      </c>
      <c r="E51" s="15"/>
      <c r="F51" s="17"/>
      <c r="G51" s="17"/>
      <c r="H51" s="16"/>
      <c r="I51" s="16" t="str">
        <v>PENDING: record case-specific inheritance, segregating variants and source location</v>
      </c>
      <c r="J51" s="18" t="n">
        <v>44347</v>
      </c>
      <c r="K51" s="2" t="str">
        <v>A</v>
      </c>
    </row>
    <row r="52" ht="90" customHeight="1">
      <c r="A52" s="14" t="str">
        <v>VWA8</v>
      </c>
      <c r="B52" s="2" t="str">
        <v>HGNC:29071</v>
      </c>
      <c r="C52" s="15" t="str">
        <v>PENDING</v>
      </c>
      <c r="D52" s="15" t="str">
        <v>PENDING</v>
      </c>
      <c r="E52" s="15"/>
      <c r="F52" s="17"/>
      <c r="G52" s="17"/>
      <c r="H52" s="16"/>
      <c r="I52" s="16" t="str">
        <v>PENDING: record case-specific inheritance, segregating variants and source location</v>
      </c>
      <c r="J52" s="18" t="n">
        <v>45019</v>
      </c>
      <c r="K52" s="2" t="str">
        <v>B</v>
      </c>
    </row>
    <row r="53" ht="90" customHeight="1">
      <c r="A53" s="14" t="str">
        <v>XXYLT1</v>
      </c>
      <c r="B53" s="2" t="str">
        <v>HGNC:26639</v>
      </c>
      <c r="C53" s="15" t="str">
        <v>PENDING</v>
      </c>
      <c r="D53" s="15" t="str">
        <v>PENDING</v>
      </c>
      <c r="E53" s="15"/>
      <c r="F53" s="17"/>
      <c r="G53" s="17"/>
      <c r="H53" s="16"/>
      <c r="I53" s="16" t="str">
        <v>PENDING: record case-specific inheritance, segregating variants and source location</v>
      </c>
      <c r="J53" s="18" t="n">
        <v>46233</v>
      </c>
      <c r="K53" s="2" t="str">
        <v>A</v>
      </c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</sheetData>
  <conditionalFormatting sqref="C9:D53">
    <cfRule type="containsText" dxfId="0" priority="1" operator="containsText" text="UNCERTAIN"/>
  </conditionalFormatting>
  <dataValidations count="2">
    <dataValidation type="list" sqref="C9:C53">
      <formula1>"PENDING,INCLUDE,EXCLUDE,UNCERTAIN"</formula1>
    </dataValidation>
    <dataValidation type="list" sqref="D9:D53">
      <formula1>"PENDING,CONFIRMED,REVISED,UNCERTAIN"</formula1>
    </dataValidation>
  </dataValidations>
  <hyperlinks>
    <hyperlink ref="A9" location="'Evidence'!A3"/>
    <hyperlink ref="A10" location="'Evidence'!A21"/>
    <hyperlink ref="A11" location="'Evidence'!A38"/>
    <hyperlink ref="A12" location="'Evidence'!A54"/>
    <hyperlink ref="A13" location="'Evidence'!A71"/>
    <hyperlink ref="A14" location="'Evidence'!A87"/>
    <hyperlink ref="A15" location="'Evidence'!A104"/>
    <hyperlink ref="A16" location="'Evidence'!A120"/>
    <hyperlink ref="A17" location="'Evidence'!A136"/>
    <hyperlink ref="A18" location="'Evidence'!A152"/>
    <hyperlink ref="A19" location="'Evidence'!A168"/>
    <hyperlink ref="A20" location="'Evidence'!A184"/>
    <hyperlink ref="A21" location="'Evidence'!A200"/>
    <hyperlink ref="A22" location="'Evidence'!A216"/>
    <hyperlink ref="A23" location="'Evidence'!A232"/>
    <hyperlink ref="A24" location="'Evidence'!A249"/>
    <hyperlink ref="A25" location="'Evidence'!A265"/>
    <hyperlink ref="A26" location="'Evidence'!A281"/>
    <hyperlink ref="A27" location="'Evidence'!A297"/>
    <hyperlink ref="A28" location="'Evidence'!A315"/>
    <hyperlink ref="A29" location="'Evidence'!A332"/>
    <hyperlink ref="A30" location="'Evidence'!A348"/>
    <hyperlink ref="A31" location="'Evidence'!A364"/>
    <hyperlink ref="A32" location="'Evidence'!A380"/>
    <hyperlink ref="A33" location="'Evidence'!A398"/>
    <hyperlink ref="A34" location="'Evidence'!A414"/>
    <hyperlink ref="A35" location="'Evidence'!A431"/>
    <hyperlink ref="A36" location="'Evidence'!A447"/>
    <hyperlink ref="A37" location="'Evidence'!A463"/>
    <hyperlink ref="A38" location="'Evidence'!A479"/>
    <hyperlink ref="A39" location="'Evidence'!A495"/>
    <hyperlink ref="A40" location="'Evidence'!A511"/>
    <hyperlink ref="A41" location="'Evidence'!A527"/>
    <hyperlink ref="A42" location="'Evidence'!A543"/>
    <hyperlink ref="A43" location="'Evidence'!A559"/>
    <hyperlink ref="A44" location="'Evidence'!A575"/>
    <hyperlink ref="A45" location="'Evidence'!A592"/>
    <hyperlink ref="A46" location="'Evidence'!A609"/>
    <hyperlink ref="A47" location="'Evidence'!A626"/>
    <hyperlink ref="A48" location="'Evidence'!A642"/>
    <hyperlink ref="A49" location="'Evidence'!A658"/>
    <hyperlink ref="A50" location="'Evidence'!A674"/>
    <hyperlink ref="A51" location="'Evidence'!A690"/>
    <hyperlink ref="A52" location="'Evidence'!A706"/>
    <hyperlink ref="A53" location="'Evidence'!A724"/>
  </hyperlinks>
  <pageMargins left="0.7" right="0.7" top="0.75" bottom="0.75" header="0.3" footer="0.3"/>
  <tableParts count="1">
    <tablePart r:id="Rbfabe58d9bbf4ab4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31" hidden="0" customWidth="1"/>
    <col min="2" max="2" width="108" hidden="0" customWidth="1"/>
  </cols>
  <sheetData>
    <row r="1">
      <c r="A1" s="3" t="str">
        <v>Temporal cohort — AI-screened evidence cards</v>
      </c>
      <c r="B1" s="2"/>
    </row>
    <row r="2">
      <c r="A2" s="2"/>
      <c r="B2" s="2"/>
    </row>
    <row r="3" ht="30" customHeight="1">
      <c r="A3" s="8" t="str">
        <v>AP5B1</v>
      </c>
      <c r="B3" s="8" t="str">
        <v>HGNC:25104</v>
      </c>
    </row>
    <row r="4" ht="28" customHeight="1">
      <c r="A4" s="10" t="str">
        <v>Novelty (AI screening)</v>
      </c>
      <c r="B4" s="11" t="str">
        <v>A</v>
      </c>
    </row>
    <row r="5" ht="28" customHeight="1">
      <c r="A5" s="10" t="str">
        <v>Earliest located public date</v>
      </c>
      <c r="B5" s="12" t="n">
        <v>45728</v>
      </c>
    </row>
    <row r="6" ht="28" customHeight="1">
      <c r="A6" s="10" t="str">
        <v>Public date interval</v>
      </c>
      <c r="B6" s="11" t="str">
        <v>2025-01-01; 2025-03-12</v>
      </c>
    </row>
    <row r="7" ht="28" customHeight="1">
      <c r="A7" s="10" t="str">
        <v>Phenotype domains</v>
      </c>
      <c r="B7" s="11" t="str">
        <v>retinal</v>
      </c>
    </row>
    <row r="8" ht="28" customHeight="1">
      <c r="A8" s="10" t="str">
        <v>Unrelated families (lower bound)</v>
      </c>
      <c r="B8" s="11" t="n">
        <v>2</v>
      </c>
    </row>
    <row r="9" ht="64" customHeight="1">
      <c r="A9" s="10" t="str">
        <v>Evidence summary (AI)</v>
      </c>
      <c r="B9" s="11" t="str">
        <v>First paper covers 19 families across three genes; use each gene-specific pedigree count. Healthy-RPE localization alone is not qualifying functional validation; independent 2026 AP5Z1/AP5B1 replication may meet rubric. AP5Z1 had prior spastic paraplegia.</v>
      </c>
    </row>
    <row r="10" ht="28" customHeight="1">
      <c r="A10" s="10" t="str">
        <v>Qualifying functional evidence</v>
      </c>
      <c r="B10" s="11" t="str">
        <v>Not recorded in source</v>
      </c>
    </row>
    <row r="11" ht="64" customHeight="1">
      <c r="A11" s="10" t="str">
        <v>Eligibility rationale (AI)</v>
      </c>
      <c r="B11" s="11" t="str">
        <v>First paper covers 19 families across three genes; use each gene-specific pedigree count. Healthy-RPE localization alone is not qualifying functional validation; independent 2026 AP5Z1/AP5B1 replication may meet rubric. AP5Z1 had prior spastic paraplegia.</v>
      </c>
    </row>
    <row r="12" ht="28" customHeight="1">
      <c r="A12" s="10" t="str">
        <v>Replication PMIDs</v>
      </c>
      <c r="B12" s="11" t="str">
        <v>41830174; 42568187</v>
      </c>
    </row>
    <row r="13" ht="46" customHeight="1">
      <c r="A13" s="10" t="str">
        <v>Replication evidence (AI)</v>
      </c>
      <c r="B13" s="11" t="str">
        <v>2026 report includes 22 affected people in 20 families; use per-gene counts, not all 19 families in first multi-gene study.</v>
      </c>
    </row>
    <row r="14" ht="46" customHeight="1">
      <c r="A14" s="10" t="str">
        <v>Generic AI inheritance summary</v>
      </c>
      <c r="B14" s="11" t="str">
        <v>Reported segregating biallelic/dominant or confirmed de novo genotypes consistent with the target phenotype; source-specific details in cited primary studies.</v>
      </c>
    </row>
    <row r="15" ht="28" customHeight="1">
      <c r="A15" s="10" t="str">
        <v>Reference keys</v>
      </c>
      <c r="B15" s="11" t="str">
        <v>MED:40081374; MED:41830174; MED:42568187</v>
      </c>
    </row>
    <row r="16" ht="26" customHeight="1">
      <c r="A16" s="2" t="str">
        <v>Primary literature / PubMed</v>
      </c>
      <c r="B16" s="13" t="str">
        <v>PMID 40081374</v>
      </c>
    </row>
    <row r="17" ht="26" customHeight="1">
      <c r="A17" s="2" t="str">
        <v>Primary literature / PubMed</v>
      </c>
      <c r="B17" s="13" t="str">
        <v>PMID 41830174</v>
      </c>
    </row>
    <row r="18" ht="26" customHeight="1">
      <c r="A18" s="2" t="str">
        <v>Primary literature / PubMed</v>
      </c>
      <c r="B18" s="13" t="str">
        <v>PMID 42568187</v>
      </c>
    </row>
    <row r="19" ht="28" customHeight="1">
      <c r="A19" s="2" t="str">
        <v>Author verification</v>
      </c>
      <c r="B19" s="13" t="str">
        <v>Return to AP5B1 — enter human decisions in Review</v>
      </c>
    </row>
    <row r="20">
      <c r="A20" s="2"/>
      <c r="B20" s="2"/>
    </row>
    <row r="21" ht="30" customHeight="1">
      <c r="A21" s="8" t="str">
        <v>ATP11A</v>
      </c>
      <c r="B21" s="8" t="str">
        <v>HGNC:13552</v>
      </c>
    </row>
    <row r="22" ht="28" customHeight="1">
      <c r="A22" s="10" t="str">
        <v>Novelty (AI screening)</v>
      </c>
      <c r="B22" s="11" t="str">
        <v>A</v>
      </c>
    </row>
    <row r="23" ht="28" customHeight="1">
      <c r="A23" s="10" t="str">
        <v>Earliest located public date</v>
      </c>
      <c r="B23" s="12" t="n">
        <v>44344</v>
      </c>
    </row>
    <row r="24" ht="28" customHeight="1">
      <c r="A24" s="10" t="str">
        <v>Public date interval</v>
      </c>
      <c r="B24" s="11" t="str">
        <v>2021-01-01; 2021-05-28</v>
      </c>
    </row>
    <row r="25" ht="28" customHeight="1">
      <c r="A25" s="10" t="str">
        <v>Phenotype domains</v>
      </c>
      <c r="B25" s="11" t="str">
        <v>hearing</v>
      </c>
    </row>
    <row r="26" ht="28" customHeight="1">
      <c r="A26" s="10" t="str">
        <v>Unrelated families (lower bound)</v>
      </c>
      <c r="B26" s="11" t="n">
        <v>2</v>
      </c>
    </row>
    <row r="27" ht="46" customHeight="1">
      <c r="A27" s="10" t="str">
        <v>Evidence summary (AI)</v>
      </c>
      <c r="B27" s="11" t="str">
        <v>Independent familial sensorineural hearing and auditory neuropathy reports; splice/flippase and mouse evidence.</v>
      </c>
    </row>
    <row r="28" ht="46" customHeight="1">
      <c r="A28" s="10" t="str">
        <v>Qualifying functional evidence</v>
      </c>
      <c r="B28" s="11" t="str">
        <v>Independent familial sensorineural hearing and auditory neuropathy reports; splice/flippase and mouse evidence.</v>
      </c>
    </row>
    <row r="29" ht="46" customHeight="1">
      <c r="A29" s="10" t="str">
        <v>Eligibility rationale (AI)</v>
      </c>
      <c r="B29" s="11" t="str">
        <v>Independent familial sensorineural hearing and auditory neuropathy reports; splice/flippase and mouse evidence.</v>
      </c>
    </row>
    <row r="30" ht="28" customHeight="1">
      <c r="A30" s="10" t="str">
        <v>Replication PMIDs</v>
      </c>
      <c r="B30" s="11" t="str"/>
    </row>
    <row r="31" ht="28" customHeight="1">
      <c r="A31" s="10" t="str">
        <v>Replication evidence (AI)</v>
      </c>
      <c r="B31" s="11" t="str">
        <v>Not recorded in source</v>
      </c>
    </row>
    <row r="32" ht="46" customHeight="1">
      <c r="A32" s="10" t="str">
        <v>Generic AI inheritance summary</v>
      </c>
      <c r="B32" s="11" t="str">
        <v>Reported segregating biallelic/dominant or confirmed de novo genotypes consistent with the target phenotype; source-specific details in cited primary studies.</v>
      </c>
    </row>
    <row r="33" ht="28" customHeight="1">
      <c r="A33" s="10" t="str">
        <v>Reference keys</v>
      </c>
      <c r="B33" s="11" t="str">
        <v>MED:35278131; MED:36300302</v>
      </c>
    </row>
    <row r="34" ht="26" customHeight="1">
      <c r="A34" s="2" t="str">
        <v>Primary literature / PubMed</v>
      </c>
      <c r="B34" s="13" t="str">
        <v>PMID 35278131</v>
      </c>
    </row>
    <row r="35" ht="26" customHeight="1">
      <c r="A35" s="2" t="str">
        <v>Primary literature / PubMed</v>
      </c>
      <c r="B35" s="13" t="str">
        <v>PMID 36300302</v>
      </c>
    </row>
    <row r="36" ht="28" customHeight="1">
      <c r="A36" s="2" t="str">
        <v>Author verification</v>
      </c>
      <c r="B36" s="13" t="str">
        <v>Return to ATP11A — enter human decisions in Review</v>
      </c>
    </row>
    <row r="37">
      <c r="A37" s="2"/>
      <c r="B37" s="2"/>
    </row>
    <row r="38" ht="30" customHeight="1">
      <c r="A38" s="8" t="str">
        <v>BRWD1</v>
      </c>
      <c r="B38" s="8" t="str">
        <v>HGNC:12760</v>
      </c>
    </row>
    <row r="39" ht="28" customHeight="1">
      <c r="A39" s="10" t="str">
        <v>Novelty (AI screening)</v>
      </c>
      <c r="B39" s="11" t="str">
        <v>A</v>
      </c>
    </row>
    <row r="40" ht="28" customHeight="1">
      <c r="A40" s="10" t="str">
        <v>Earliest located public date</v>
      </c>
      <c r="B40" s="12" t="n">
        <v>44199</v>
      </c>
    </row>
    <row r="41" ht="28" customHeight="1">
      <c r="A41" s="10" t="str">
        <v>Public date interval</v>
      </c>
      <c r="B41" s="11" t="str">
        <v>2021-01-01; 2021-01-03</v>
      </c>
    </row>
    <row r="42" ht="28" customHeight="1">
      <c r="A42" s="10" t="str">
        <v>Phenotype domains</v>
      </c>
      <c r="B42" s="11" t="str">
        <v>motile_cilia</v>
      </c>
    </row>
    <row r="43" ht="28" customHeight="1">
      <c r="A43" s="10" t="str">
        <v>Unrelated families (lower bound)</v>
      </c>
      <c r="B43" s="11" t="n">
        <v>2</v>
      </c>
    </row>
    <row r="44" ht="46" customHeight="1">
      <c r="A44" s="10" t="str">
        <v>Evidence summary (AI)</v>
      </c>
      <c r="B44" s="11" t="str">
        <v>Astra located red-panel nomination: three unrelated PCD individuals plus ciliary structural/function evidence; publisher public date 2021-01-03.</v>
      </c>
    </row>
    <row r="45" ht="46" customHeight="1">
      <c r="A45" s="10" t="str">
        <v>Qualifying functional evidence</v>
      </c>
      <c r="B45" s="11" t="str">
        <v>Astra located red-panel nomination: three unrelated PCD individuals plus ciliary structural/function evidence; publisher public date 2021-01-03.</v>
      </c>
    </row>
    <row r="46" ht="46" customHeight="1">
      <c r="A46" s="10" t="str">
        <v>Eligibility rationale (AI)</v>
      </c>
      <c r="B46" s="11" t="str">
        <v>Astra located red-panel nomination: three unrelated PCD individuals plus ciliary structural/function evidence; publisher public date 2021-01-03.</v>
      </c>
    </row>
    <row r="47" ht="28" customHeight="1">
      <c r="A47" s="10" t="str">
        <v>Replication PMIDs</v>
      </c>
      <c r="B47" s="11" t="str"/>
    </row>
    <row r="48" ht="28" customHeight="1">
      <c r="A48" s="10" t="str">
        <v>Replication evidence (AI)</v>
      </c>
      <c r="B48" s="11" t="str">
        <v>Not recorded in source</v>
      </c>
    </row>
    <row r="49" ht="46" customHeight="1">
      <c r="A49" s="10" t="str">
        <v>Generic AI inheritance summary</v>
      </c>
      <c r="B49" s="11" t="str">
        <v>Reported segregating biallelic/dominant or confirmed de novo genotypes consistent with the target phenotype; source-specific details in cited primary studies.</v>
      </c>
    </row>
    <row r="50" ht="28" customHeight="1">
      <c r="A50" s="10" t="str">
        <v>Reference keys</v>
      </c>
      <c r="B50" s="11" t="str">
        <v>MED:33389130</v>
      </c>
    </row>
    <row r="51" ht="26" customHeight="1">
      <c r="A51" s="2" t="str">
        <v>Primary literature / PubMed</v>
      </c>
      <c r="B51" s="13" t="str">
        <v>PMID 33389130</v>
      </c>
    </row>
    <row r="52" ht="28" customHeight="1">
      <c r="A52" s="2" t="str">
        <v>Author verification</v>
      </c>
      <c r="B52" s="13" t="str">
        <v>Return to BRWD1 — enter human decisions in Review</v>
      </c>
    </row>
    <row r="53">
      <c r="A53" s="2"/>
      <c r="B53" s="2"/>
    </row>
    <row r="54" ht="30" customHeight="1">
      <c r="A54" s="8" t="str">
        <v>C19orf44</v>
      </c>
      <c r="B54" s="8" t="str">
        <v>HGNC:26141</v>
      </c>
    </row>
    <row r="55" ht="28" customHeight="1">
      <c r="A55" s="10" t="str">
        <v>Novelty (AI screening)</v>
      </c>
      <c r="B55" s="11" t="str">
        <v>A</v>
      </c>
    </row>
    <row r="56" ht="28" customHeight="1">
      <c r="A56" s="10" t="str">
        <v>Earliest located public date</v>
      </c>
      <c r="B56" s="12" t="n">
        <v>45726</v>
      </c>
    </row>
    <row r="57" ht="28" customHeight="1">
      <c r="A57" s="10" t="str">
        <v>Public date interval</v>
      </c>
      <c r="B57" s="11" t="str">
        <v>2025-01-01; 2025-03-10</v>
      </c>
    </row>
    <row r="58" ht="28" customHeight="1">
      <c r="A58" s="10" t="str">
        <v>Phenotype domains</v>
      </c>
      <c r="B58" s="11" t="str">
        <v>retinal</v>
      </c>
    </row>
    <row r="59" ht="28" customHeight="1">
      <c r="A59" s="10" t="str">
        <v>Unrelated families (lower bound)</v>
      </c>
      <c r="B59" s="11" t="n">
        <v>2</v>
      </c>
    </row>
    <row r="60" ht="46" customHeight="1">
      <c r="A60" s="10" t="str">
        <v>Evidence summary (AI)</v>
      </c>
      <c r="B60" s="11" t="str">
        <v>Eleven unrelated retinal families; abstract reports expression/localization only, so locate variant functional evidence or independent replication before assigning strong cohort.</v>
      </c>
    </row>
    <row r="61" ht="28" customHeight="1">
      <c r="A61" s="10" t="str">
        <v>Qualifying functional evidence</v>
      </c>
      <c r="B61" s="11" t="str">
        <v>Not recorded in source</v>
      </c>
    </row>
    <row r="62" ht="46" customHeight="1">
      <c r="A62" s="10" t="str">
        <v>Eligibility rationale (AI)</v>
      </c>
      <c r="B62" s="11" t="str">
        <v>Eleven unrelated retinal families; abstract reports expression/localization only, so locate variant functional evidence or independent replication before assigning strong cohort.</v>
      </c>
    </row>
    <row r="63" ht="28" customHeight="1">
      <c r="A63" s="10" t="str">
        <v>Replication PMIDs</v>
      </c>
      <c r="B63" s="11" t="str">
        <v>40744518</v>
      </c>
    </row>
    <row r="64" ht="46" customHeight="1">
      <c r="A64" s="10" t="str">
        <v>Replication evidence (AI)</v>
      </c>
      <c r="B64" s="11" t="str">
        <v>Independent EastAsianpatient3 has c.1168C&gt;T/c.976_977del, absent originalfourvariantlist andancestries; at leastone genuinelynewtargetfamily established without assumingallthree are independent.</v>
      </c>
    </row>
    <row r="65" ht="46" customHeight="1">
      <c r="A65" s="10" t="str">
        <v>Generic AI inheritance summary</v>
      </c>
      <c r="B65" s="11" t="str">
        <v>Reported segregating biallelic/dominant or confirmed de novo genotypes consistent with the target phenotype; source-specific details in cited primary studies.</v>
      </c>
    </row>
    <row r="66" ht="28" customHeight="1">
      <c r="A66" s="10" t="str">
        <v>Reference keys</v>
      </c>
      <c r="B66" s="11" t="str">
        <v>MED:40079362; MED:40744518</v>
      </c>
    </row>
    <row r="67" ht="26" customHeight="1">
      <c r="A67" s="2" t="str">
        <v>Primary literature / PubMed</v>
      </c>
      <c r="B67" s="13" t="str">
        <v>PMID 40079362</v>
      </c>
    </row>
    <row r="68" ht="26" customHeight="1">
      <c r="A68" s="2" t="str">
        <v>Primary literature / PubMed</v>
      </c>
      <c r="B68" s="13" t="str">
        <v>PMID 40744518</v>
      </c>
    </row>
    <row r="69" ht="28" customHeight="1">
      <c r="A69" s="2" t="str">
        <v>Author verification</v>
      </c>
      <c r="B69" s="13" t="str">
        <v>Return to C19orf44 — enter human decisions in Review</v>
      </c>
    </row>
    <row r="70">
      <c r="A70" s="2"/>
      <c r="B70" s="2"/>
    </row>
    <row r="71" ht="30" customHeight="1">
      <c r="A71" s="8" t="str">
        <v>CEP76</v>
      </c>
      <c r="B71" s="8" t="str">
        <v>HGNC:25727</v>
      </c>
    </row>
    <row r="72" ht="28" customHeight="1">
      <c r="A72" s="10" t="str">
        <v>Novelty (AI screening)</v>
      </c>
      <c r="B72" s="11" t="str">
        <v>A</v>
      </c>
    </row>
    <row r="73" ht="28" customHeight="1">
      <c r="A73" s="10" t="str">
        <v>Earliest located public date</v>
      </c>
      <c r="B73" s="12" t="n">
        <v>45947</v>
      </c>
    </row>
    <row r="74" ht="28" customHeight="1">
      <c r="A74" s="10" t="str">
        <v>Public date interval</v>
      </c>
      <c r="B74" s="11" t="str">
        <v>2025-01-01; 2025-10-17</v>
      </c>
    </row>
    <row r="75" ht="28" customHeight="1">
      <c r="A75" s="10" t="str">
        <v>Phenotype domains</v>
      </c>
      <c r="B75" s="11" t="str">
        <v>primary_cilia</v>
      </c>
    </row>
    <row r="76" ht="28" customHeight="1">
      <c r="A76" s="10" t="str">
        <v>Unrelated families (lower bound)</v>
      </c>
      <c r="B76" s="11" t="n">
        <v>2</v>
      </c>
    </row>
    <row r="77" ht="46" customHeight="1">
      <c r="A77" s="10" t="str">
        <v>Evidence summary (AI)</v>
      </c>
      <c r="B77" s="11" t="str">
        <v>Eight unrelated individuals with multisystem ciliopathy; patient cells, variant complementation and zebrafish.</v>
      </c>
    </row>
    <row r="78" ht="46" customHeight="1">
      <c r="A78" s="10" t="str">
        <v>Qualifying functional evidence</v>
      </c>
      <c r="B78" s="11" t="str">
        <v>Eight unrelated individuals with multisystem ciliopathy; patient cells, variant complementation and zebrafish.</v>
      </c>
    </row>
    <row r="79" ht="46" customHeight="1">
      <c r="A79" s="10" t="str">
        <v>Eligibility rationale (AI)</v>
      </c>
      <c r="B79" s="11" t="str">
        <v>Eight unrelated individuals with multisystem ciliopathy; patient cells, variant complementation and zebrafish.</v>
      </c>
    </row>
    <row r="80" ht="28" customHeight="1">
      <c r="A80" s="10" t="str">
        <v>Replication PMIDs</v>
      </c>
      <c r="B80" s="11" t="str"/>
    </row>
    <row r="81" ht="28" customHeight="1">
      <c r="A81" s="10" t="str">
        <v>Replication evidence (AI)</v>
      </c>
      <c r="B81" s="11" t="str">
        <v>Not recorded in source</v>
      </c>
    </row>
    <row r="82" ht="46" customHeight="1">
      <c r="A82" s="10" t="str">
        <v>Generic AI inheritance summary</v>
      </c>
      <c r="B82" s="11" t="str">
        <v>Reported segregating biallelic/dominant or confirmed de novo genotypes consistent with the target phenotype; source-specific details in cited primary studies.</v>
      </c>
    </row>
    <row r="83" ht="28" customHeight="1">
      <c r="A83" s="10" t="str">
        <v>Reference keys</v>
      </c>
      <c r="B83" s="11" t="str">
        <v>MED:41105778</v>
      </c>
    </row>
    <row r="84" ht="26" customHeight="1">
      <c r="A84" s="2" t="str">
        <v>Primary literature / PubMed</v>
      </c>
      <c r="B84" s="13" t="str">
        <v>PMID 41105778</v>
      </c>
    </row>
    <row r="85" ht="28" customHeight="1">
      <c r="A85" s="2" t="str">
        <v>Author verification</v>
      </c>
      <c r="B85" s="13" t="str">
        <v>Return to CEP76 — enter human decisions in Review</v>
      </c>
    </row>
    <row r="86">
      <c r="A86" s="2"/>
      <c r="B86" s="2"/>
    </row>
    <row r="87" ht="30" customHeight="1">
      <c r="A87" s="8" t="str">
        <v>CFAP54</v>
      </c>
      <c r="B87" s="8" t="str">
        <v>HGNC:26456</v>
      </c>
    </row>
    <row r="88" ht="28" customHeight="1">
      <c r="A88" s="10" t="str">
        <v>Novelty (AI screening)</v>
      </c>
      <c r="B88" s="11" t="str">
        <v>A</v>
      </c>
    </row>
    <row r="89" ht="28" customHeight="1">
      <c r="A89" s="10" t="str">
        <v>Earliest located public date</v>
      </c>
      <c r="B89" s="12" t="n">
        <v>45188</v>
      </c>
    </row>
    <row r="90" ht="28" customHeight="1">
      <c r="A90" s="10" t="str">
        <v>Public date interval</v>
      </c>
      <c r="B90" s="11" t="str">
        <v>2023-01-01; 2023-09-19</v>
      </c>
    </row>
    <row r="91" ht="28" customHeight="1">
      <c r="A91" s="10" t="str">
        <v>Phenotype domains</v>
      </c>
      <c r="B91" s="11" t="str">
        <v>motile_cilia</v>
      </c>
    </row>
    <row r="92" ht="28" customHeight="1">
      <c r="A92" s="10" t="str">
        <v>Unrelated families (lower bound)</v>
      </c>
      <c r="B92" s="11" t="n">
        <v>2</v>
      </c>
    </row>
    <row r="93" ht="46" customHeight="1">
      <c r="A93" s="10" t="str">
        <v>Evidence summary (AI)</v>
      </c>
      <c r="B93" s="11" t="str">
        <v>First paper has two unrelated PCD patients and variant/knock-in mouse support; second paper adds four CFAP54 families, not four CFAP46 families.</v>
      </c>
    </row>
    <row r="94" ht="46" customHeight="1">
      <c r="A94" s="10" t="str">
        <v>Qualifying functional evidence</v>
      </c>
      <c r="B94" s="11" t="str">
        <v>First paper has two unrelated PCD patients and variant/knock-in mouse support; second paper adds four CFAP54 families, not four CFAP46 families.</v>
      </c>
    </row>
    <row r="95" ht="46" customHeight="1">
      <c r="A95" s="10" t="str">
        <v>Eligibility rationale (AI)</v>
      </c>
      <c r="B95" s="11" t="str">
        <v>First paper has two unrelated PCD patients and variant/knock-in mouse support; second paper adds four CFAP54 families, not four CFAP46 families.</v>
      </c>
    </row>
    <row r="96" ht="28" customHeight="1">
      <c r="A96" s="10" t="str">
        <v>Replication PMIDs</v>
      </c>
      <c r="B96" s="11" t="str"/>
    </row>
    <row r="97" ht="28" customHeight="1">
      <c r="A97" s="10" t="str">
        <v>Replication evidence (AI)</v>
      </c>
      <c r="B97" s="11" t="str">
        <v>Not recorded in source</v>
      </c>
    </row>
    <row r="98" ht="46" customHeight="1">
      <c r="A98" s="10" t="str">
        <v>Generic AI inheritance summary</v>
      </c>
      <c r="B98" s="11" t="str">
        <v>Reported segregating biallelic/dominant or confirmed de novo genotypes consistent with the target phenotype; source-specific details in cited primary studies.</v>
      </c>
    </row>
    <row r="99" ht="28" customHeight="1">
      <c r="A99" s="10" t="str">
        <v>Reference keys</v>
      </c>
      <c r="B99" s="11" t="str">
        <v>MED:37725231; MED:39362668</v>
      </c>
    </row>
    <row r="100" ht="26" customHeight="1">
      <c r="A100" s="2" t="str">
        <v>Primary literature / PubMed</v>
      </c>
      <c r="B100" s="13" t="str">
        <v>PMID 37725231</v>
      </c>
    </row>
    <row r="101" ht="26" customHeight="1">
      <c r="A101" s="2" t="str">
        <v>Primary literature / PubMed</v>
      </c>
      <c r="B101" s="13" t="str">
        <v>PMID 39362668</v>
      </c>
    </row>
    <row r="102" ht="28" customHeight="1">
      <c r="A102" s="2" t="str">
        <v>Author verification</v>
      </c>
      <c r="B102" s="13" t="str">
        <v>Return to CFAP54 — enter human decisions in Review</v>
      </c>
    </row>
    <row r="103">
      <c r="A103" s="2"/>
      <c r="B103" s="2"/>
    </row>
    <row r="104" ht="30" customHeight="1">
      <c r="A104" s="8" t="str">
        <v>CLEC3B</v>
      </c>
      <c r="B104" s="8" t="str">
        <v>HGNC:11891</v>
      </c>
    </row>
    <row r="105" ht="28" customHeight="1">
      <c r="A105" s="10" t="str">
        <v>Novelty (AI screening)</v>
      </c>
      <c r="B105" s="11" t="str">
        <v>A</v>
      </c>
    </row>
    <row r="106" ht="28" customHeight="1">
      <c r="A106" s="10" t="str">
        <v>Earliest located public date</v>
      </c>
      <c r="B106" s="12" t="n">
        <v>44642</v>
      </c>
    </row>
    <row r="107" ht="28" customHeight="1">
      <c r="A107" s="10" t="str">
        <v>Public date interval</v>
      </c>
      <c r="B107" s="11" t="str">
        <v>2022-01-01; 2022-03-22</v>
      </c>
    </row>
    <row r="108" ht="28" customHeight="1">
      <c r="A108" s="10" t="str">
        <v>Phenotype domains</v>
      </c>
      <c r="B108" s="11" t="str">
        <v>retinal</v>
      </c>
    </row>
    <row r="109" ht="28" customHeight="1">
      <c r="A109" s="10" t="str">
        <v>Unrelated families (lower bound)</v>
      </c>
      <c r="B109" s="11" t="n">
        <v>2</v>
      </c>
    </row>
    <row r="110" ht="46" customHeight="1">
      <c r="A110" s="10" t="str">
        <v>Evidence summary (AI)</v>
      </c>
      <c r="B110" s="11" t="str">
        <v>Five multigenerational maculoretinopathy families; mutant-gene delivery recapitulates retinal structural/functional defects.</v>
      </c>
    </row>
    <row r="111" ht="46" customHeight="1">
      <c r="A111" s="10" t="str">
        <v>Qualifying functional evidence</v>
      </c>
      <c r="B111" s="11" t="str">
        <v>Five multigenerational maculoretinopathy families; mutant-gene delivery recapitulates retinal structural/functional defects.</v>
      </c>
    </row>
    <row r="112" ht="46" customHeight="1">
      <c r="A112" s="10" t="str">
        <v>Eligibility rationale (AI)</v>
      </c>
      <c r="B112" s="11" t="str">
        <v>Five multigenerational maculoretinopathy families; mutant-gene delivery recapitulates retinal structural/functional defects.</v>
      </c>
    </row>
    <row r="113" ht="28" customHeight="1">
      <c r="A113" s="10" t="str">
        <v>Replication PMIDs</v>
      </c>
      <c r="B113" s="11" t="str"/>
    </row>
    <row r="114" ht="28" customHeight="1">
      <c r="A114" s="10" t="str">
        <v>Replication evidence (AI)</v>
      </c>
      <c r="B114" s="11" t="str">
        <v>Not recorded in source</v>
      </c>
    </row>
    <row r="115" ht="46" customHeight="1">
      <c r="A115" s="10" t="str">
        <v>Generic AI inheritance summary</v>
      </c>
      <c r="B115" s="11" t="str">
        <v>Reported segregating biallelic/dominant or confirmed de novo genotypes consistent with the target phenotype; source-specific details in cited primary studies.</v>
      </c>
    </row>
    <row r="116" ht="28" customHeight="1">
      <c r="A116" s="10" t="str">
        <v>Reference keys</v>
      </c>
      <c r="B116" s="11" t="str">
        <v>MED:35331648</v>
      </c>
    </row>
    <row r="117" ht="26" customHeight="1">
      <c r="A117" s="2" t="str">
        <v>Primary literature / PubMed</v>
      </c>
      <c r="B117" s="13" t="str">
        <v>PMID 35331648</v>
      </c>
    </row>
    <row r="118" ht="28" customHeight="1">
      <c r="A118" s="2" t="str">
        <v>Author verification</v>
      </c>
      <c r="B118" s="13" t="str">
        <v>Return to CLEC3B — enter human decisions in Review</v>
      </c>
    </row>
    <row r="119">
      <c r="A119" s="2"/>
      <c r="B119" s="2"/>
    </row>
    <row r="120" ht="30" customHeight="1">
      <c r="A120" s="8" t="str">
        <v>COQ5</v>
      </c>
      <c r="B120" s="8" t="str">
        <v>HGNC:28722</v>
      </c>
    </row>
    <row r="121" ht="28" customHeight="1">
      <c r="A121" s="10" t="str">
        <v>Novelty (AI screening)</v>
      </c>
      <c r="B121" s="11" t="str">
        <v>B</v>
      </c>
    </row>
    <row r="122" ht="28" customHeight="1">
      <c r="A122" s="10" t="str">
        <v>Earliest located public date</v>
      </c>
      <c r="B122" s="12" t="n">
        <v>44854</v>
      </c>
    </row>
    <row r="123" ht="28" customHeight="1">
      <c r="A123" s="10" t="str">
        <v>Public date interval</v>
      </c>
      <c r="B123" s="11" t="str">
        <v>2022-01-01; 2022-10-20</v>
      </c>
    </row>
    <row r="124" ht="28" customHeight="1">
      <c r="A124" s="10" t="str">
        <v>Phenotype domains</v>
      </c>
      <c r="B124" s="11" t="str">
        <v>retinal</v>
      </c>
    </row>
    <row r="125" ht="28" customHeight="1">
      <c r="A125" s="10" t="str">
        <v>Unrelated families (lower bound)</v>
      </c>
      <c r="B125" s="11" t="n">
        <v>2</v>
      </c>
    </row>
    <row r="126" ht="46" customHeight="1">
      <c r="A126" s="10" t="str">
        <v>Evidence summary (AI)</v>
      </c>
      <c r="B126" s="11" t="str">
        <v>Primary PMC9581764: retinal families11/12, in-trans alleles and splice defect c.682-7T&gt;G. Earlier2017 PMC5722658 neurological report explicitly normal fundoscopy, no target sensory phenotype.</v>
      </c>
    </row>
    <row r="127" ht="46" customHeight="1">
      <c r="A127" s="10" t="str">
        <v>Qualifying functional evidence</v>
      </c>
      <c r="B127" s="11" t="str">
        <v>Primary PMC9581764: retinal families11/12, in-trans alleles and splice defect c.682-7T&gt;G. Earlier2017 PMC5722658 neurological report explicitly normal fundoscopy, no target sensory phenotype.</v>
      </c>
    </row>
    <row r="128" ht="46" customHeight="1">
      <c r="A128" s="10" t="str">
        <v>Eligibility rationale (AI)</v>
      </c>
      <c r="B128" s="11" t="str">
        <v>Primary PMC9581764: retinal families11/12, in-trans alleles and splice defect c.682-7T&gt;G. Earlier2017 PMC5722658 neurological report explicitly normal fundoscopy, no target sensory phenotype.</v>
      </c>
    </row>
    <row r="129" ht="28" customHeight="1">
      <c r="A129" s="10" t="str">
        <v>Replication PMIDs</v>
      </c>
      <c r="B129" s="11" t="str"/>
    </row>
    <row r="130" ht="28" customHeight="1">
      <c r="A130" s="10" t="str">
        <v>Replication evidence (AI)</v>
      </c>
      <c r="B130" s="11" t="str">
        <v>Not recorded in source</v>
      </c>
    </row>
    <row r="131" ht="46" customHeight="1">
      <c r="A131" s="10" t="str">
        <v>Generic AI inheritance summary</v>
      </c>
      <c r="B131" s="11" t="str">
        <v>Reported segregating biallelic/dominant or confirmed de novo genotypes consistent with the target phenotype; source-specific details in cited primary studies.</v>
      </c>
    </row>
    <row r="132" ht="28" customHeight="1">
      <c r="A132" s="10" t="str">
        <v>Reference keys</v>
      </c>
      <c r="B132" s="11" t="str">
        <v>MED:36266294</v>
      </c>
    </row>
    <row r="133" ht="26" customHeight="1">
      <c r="A133" s="2" t="str">
        <v>Primary literature / PubMed</v>
      </c>
      <c r="B133" s="13" t="str">
        <v>PMID 36266294</v>
      </c>
    </row>
    <row r="134" ht="28" customHeight="1">
      <c r="A134" s="2" t="str">
        <v>Author verification</v>
      </c>
      <c r="B134" s="13" t="str">
        <v>Return to COQ5 — enter human decisions in Review</v>
      </c>
    </row>
    <row r="135">
      <c r="A135" s="2"/>
      <c r="B135" s="2"/>
    </row>
    <row r="136" ht="30" customHeight="1">
      <c r="A136" s="8" t="str">
        <v>CREB3</v>
      </c>
      <c r="B136" s="8" t="str">
        <v>HGNC:2347</v>
      </c>
    </row>
    <row r="137" ht="28" customHeight="1">
      <c r="A137" s="10" t="str">
        <v>Novelty (AI screening)</v>
      </c>
      <c r="B137" s="11" t="str">
        <v>A</v>
      </c>
    </row>
    <row r="138" ht="28" customHeight="1">
      <c r="A138" s="10" t="str">
        <v>Earliest located public date</v>
      </c>
      <c r="B138" s="12" t="n">
        <v>45413</v>
      </c>
    </row>
    <row r="139" ht="28" customHeight="1">
      <c r="A139" s="10" t="str">
        <v>Public date interval</v>
      </c>
      <c r="B139" s="11" t="str">
        <v>2024-05-01; 2025-07-17</v>
      </c>
    </row>
    <row r="140" ht="28" customHeight="1">
      <c r="A140" s="10" t="str">
        <v>Phenotype domains</v>
      </c>
      <c r="B140" s="11" t="str">
        <v>retinal</v>
      </c>
    </row>
    <row r="141" ht="28" customHeight="1">
      <c r="A141" s="10" t="str">
        <v>Unrelated families (lower bound)</v>
      </c>
      <c r="B141" s="11" t="n">
        <v>2</v>
      </c>
    </row>
    <row r="142" ht="46" customHeight="1">
      <c r="A142" s="10" t="str">
        <v>Evidence summary (AI)</v>
      </c>
      <c r="B142" s="11" t="str">
        <v>Thirteen retinal cases in four unrelated families; founder nonsense variant produces truncated protein in patient fibroblasts.</v>
      </c>
    </row>
    <row r="143" ht="46" customHeight="1">
      <c r="A143" s="10" t="str">
        <v>Qualifying functional evidence</v>
      </c>
      <c r="B143" s="11" t="str">
        <v>Thirteen retinal cases in four unrelated families; founder nonsense variant produces truncated protein in patient fibroblasts.</v>
      </c>
    </row>
    <row r="144" ht="46" customHeight="1">
      <c r="A144" s="10" t="str">
        <v>Eligibility rationale (AI)</v>
      </c>
      <c r="B144" s="11" t="str">
        <v>Thirteen retinal cases in four unrelated families; founder nonsense variant produces truncated protein in patient fibroblasts.</v>
      </c>
    </row>
    <row r="145" ht="28" customHeight="1">
      <c r="A145" s="10" t="str">
        <v>Replication PMIDs</v>
      </c>
      <c r="B145" s="11" t="str"/>
    </row>
    <row r="146" ht="28" customHeight="1">
      <c r="A146" s="10" t="str">
        <v>Replication evidence (AI)</v>
      </c>
      <c r="B146" s="11" t="str">
        <v>Not recorded in source</v>
      </c>
    </row>
    <row r="147" ht="46" customHeight="1">
      <c r="A147" s="10" t="str">
        <v>Generic AI inheritance summary</v>
      </c>
      <c r="B147" s="11" t="str">
        <v>Reported segregating biallelic/dominant or confirmed de novo genotypes consistent with the target phenotype; source-specific details in cited primary studies.</v>
      </c>
    </row>
    <row r="148" ht="28" customHeight="1">
      <c r="A148" s="10" t="str">
        <v>Reference keys</v>
      </c>
      <c r="B148" s="11" t="str">
        <v>MED:40674075</v>
      </c>
    </row>
    <row r="149" ht="26" customHeight="1">
      <c r="A149" s="2" t="str">
        <v>Primary literature / PubMed</v>
      </c>
      <c r="B149" s="13" t="str">
        <v>PMID 40674075</v>
      </c>
    </row>
    <row r="150" ht="28" customHeight="1">
      <c r="A150" s="2" t="str">
        <v>Author verification</v>
      </c>
      <c r="B150" s="13" t="str">
        <v>Return to CREB3 — enter human decisions in Review</v>
      </c>
    </row>
    <row r="151">
      <c r="A151" s="2"/>
      <c r="B151" s="2"/>
    </row>
    <row r="152" ht="30" customHeight="1">
      <c r="A152" s="8" t="str">
        <v>CRLS1</v>
      </c>
      <c r="B152" s="8" t="str">
        <v>HGNC:16148</v>
      </c>
    </row>
    <row r="153" ht="28" customHeight="1">
      <c r="A153" s="10" t="str">
        <v>Novelty (AI screening)</v>
      </c>
      <c r="B153" s="11" t="str">
        <v>A</v>
      </c>
    </row>
    <row r="154" ht="28" customHeight="1">
      <c r="A154" s="10" t="str">
        <v>Earliest located public date</v>
      </c>
      <c r="B154" s="12" t="n">
        <v>44603</v>
      </c>
    </row>
    <row r="155" ht="28" customHeight="1">
      <c r="A155" s="10" t="str">
        <v>Public date interval</v>
      </c>
      <c r="B155" s="11" t="str">
        <v>2022-01-01; 2022-02-11</v>
      </c>
    </row>
    <row r="156" ht="28" customHeight="1">
      <c r="A156" s="10" t="str">
        <v>Phenotype domains</v>
      </c>
      <c r="B156" s="11" t="str">
        <v>hearing; retinal</v>
      </c>
    </row>
    <row r="157" ht="28" customHeight="1">
      <c r="A157" s="10" t="str">
        <v>Unrelated families (lower bound)</v>
      </c>
      <c r="B157" s="11" t="n">
        <v>3</v>
      </c>
    </row>
    <row r="158" ht="64" customHeight="1">
      <c r="A158" s="10" t="str">
        <v>Evidence summary (AI)</v>
      </c>
      <c r="B158" s="11" t="str">
        <v>Four individuals including siblings; auditory neuropathy and retinal maculopathy, cardiolipin/mitochondrial functional assays. Earlier C20orf7 paper is a different causal gene, not automatically prior CRLS1 disease.</v>
      </c>
    </row>
    <row r="159" ht="64" customHeight="1">
      <c r="A159" s="10" t="str">
        <v>Qualifying functional evidence</v>
      </c>
      <c r="B159" s="11" t="str">
        <v>Four individuals including siblings; auditory neuropathy and retinal maculopathy, cardiolipin/mitochondrial functional assays. Earlier C20orf7 paper is a different causal gene, not automatically prior CRLS1 disease.</v>
      </c>
    </row>
    <row r="160" ht="64" customHeight="1">
      <c r="A160" s="10" t="str">
        <v>Eligibility rationale (AI)</v>
      </c>
      <c r="B160" s="11" t="str">
        <v>Four individuals including siblings; auditory neuropathy and retinal maculopathy, cardiolipin/mitochondrial functional assays. Earlier C20orf7 paper is a different causal gene, not automatically prior CRLS1 disease.</v>
      </c>
    </row>
    <row r="161" ht="28" customHeight="1">
      <c r="A161" s="10" t="str">
        <v>Replication PMIDs</v>
      </c>
      <c r="B161" s="11" t="str"/>
    </row>
    <row r="162" ht="28" customHeight="1">
      <c r="A162" s="10" t="str">
        <v>Replication evidence (AI)</v>
      </c>
      <c r="B162" s="11" t="str">
        <v>Not recorded in source</v>
      </c>
    </row>
    <row r="163" ht="46" customHeight="1">
      <c r="A163" s="10" t="str">
        <v>Generic AI inheritance summary</v>
      </c>
      <c r="B163" s="11" t="str">
        <v>Reported segregating biallelic/dominant or confirmed de novo genotypes consistent with the target phenotype; source-specific details in cited primary studies.</v>
      </c>
    </row>
    <row r="164" ht="28" customHeight="1">
      <c r="A164" s="10" t="str">
        <v>Reference keys</v>
      </c>
      <c r="B164" s="11" t="str">
        <v>MED:35147173</v>
      </c>
    </row>
    <row r="165" ht="26" customHeight="1">
      <c r="A165" s="2" t="str">
        <v>Primary literature / PubMed</v>
      </c>
      <c r="B165" s="13" t="str">
        <v>PMID 35147173</v>
      </c>
    </row>
    <row r="166" ht="28" customHeight="1">
      <c r="A166" s="2" t="str">
        <v>Author verification</v>
      </c>
      <c r="B166" s="13" t="str">
        <v>Return to CRLS1 — enter human decisions in Review</v>
      </c>
    </row>
    <row r="167">
      <c r="A167" s="2"/>
      <c r="B167" s="2"/>
    </row>
    <row r="168" ht="30" customHeight="1">
      <c r="A168" s="8" t="str">
        <v>CTNND1</v>
      </c>
      <c r="B168" s="8" t="str">
        <v>HGNC:2515</v>
      </c>
    </row>
    <row r="169" ht="28" customHeight="1">
      <c r="A169" s="10" t="str">
        <v>Novelty (AI screening)</v>
      </c>
      <c r="B169" s="11" t="str">
        <v>B</v>
      </c>
    </row>
    <row r="170" ht="28" customHeight="1">
      <c r="A170" s="10" t="str">
        <v>Earliest located public date</v>
      </c>
      <c r="B170" s="12" t="n">
        <v>44726</v>
      </c>
    </row>
    <row r="171" ht="28" customHeight="1">
      <c r="A171" s="10" t="str">
        <v>Public date interval</v>
      </c>
      <c r="B171" s="11" t="str">
        <v>2022-01-01; 2022-06-14</v>
      </c>
    </row>
    <row r="172" ht="28" customHeight="1">
      <c r="A172" s="10" t="str">
        <v>Phenotype domains</v>
      </c>
      <c r="B172" s="11" t="str">
        <v>retinal</v>
      </c>
    </row>
    <row r="173" ht="28" customHeight="1">
      <c r="A173" s="10" t="str">
        <v>Unrelated families (lower bound)</v>
      </c>
      <c r="B173" s="11" t="n">
        <v>2</v>
      </c>
    </row>
    <row r="174" ht="46" customHeight="1">
      <c r="A174" s="10" t="str">
        <v>Evidence summary (AI)</v>
      </c>
      <c r="B174" s="11" t="str">
        <v>Three FEVR variant probands, variant/cadherin/Wnt and mouse vascular assays; earlier non-target developmental disease needs explicit reference/date.</v>
      </c>
    </row>
    <row r="175" ht="46" customHeight="1">
      <c r="A175" s="10" t="str">
        <v>Qualifying functional evidence</v>
      </c>
      <c r="B175" s="11" t="str">
        <v>Three FEVR variant probands, variant/cadherin/Wnt and mouse vascular assays; earlier non-target developmental disease needs explicit reference/date.</v>
      </c>
    </row>
    <row r="176" ht="46" customHeight="1">
      <c r="A176" s="10" t="str">
        <v>Eligibility rationale (AI)</v>
      </c>
      <c r="B176" s="11" t="str">
        <v>Three FEVR variant probands, variant/cadherin/Wnt and mouse vascular assays; earlier non-target developmental disease needs explicit reference/date.</v>
      </c>
    </row>
    <row r="177" ht="28" customHeight="1">
      <c r="A177" s="10" t="str">
        <v>Replication PMIDs</v>
      </c>
      <c r="B177" s="11" t="str"/>
    </row>
    <row r="178" ht="28" customHeight="1">
      <c r="A178" s="10" t="str">
        <v>Replication evidence (AI)</v>
      </c>
      <c r="B178" s="11" t="str">
        <v>Not recorded in source</v>
      </c>
    </row>
    <row r="179" ht="46" customHeight="1">
      <c r="A179" s="10" t="str">
        <v>Generic AI inheritance summary</v>
      </c>
      <c r="B179" s="11" t="str">
        <v>Reported segregating biallelic/dominant or confirmed de novo genotypes consistent with the target phenotype; source-specific details in cited primary studies.</v>
      </c>
    </row>
    <row r="180" ht="28" customHeight="1">
      <c r="A180" s="10" t="str">
        <v>Reference keys</v>
      </c>
      <c r="B180" s="11" t="str">
        <v>MED:35700046</v>
      </c>
    </row>
    <row r="181" ht="26" customHeight="1">
      <c r="A181" s="2" t="str">
        <v>Primary literature / PubMed</v>
      </c>
      <c r="B181" s="13" t="str">
        <v>PMID 35700046</v>
      </c>
    </row>
    <row r="182" ht="28" customHeight="1">
      <c r="A182" s="2" t="str">
        <v>Author verification</v>
      </c>
      <c r="B182" s="13" t="str">
        <v>Return to CTNND1 — enter human decisions in Review</v>
      </c>
    </row>
    <row r="183">
      <c r="A183" s="2"/>
      <c r="B183" s="2"/>
    </row>
    <row r="184" ht="30" customHeight="1">
      <c r="A184" s="8" t="str">
        <v>DHRSX</v>
      </c>
      <c r="B184" s="8" t="str">
        <v>HGNC:18399</v>
      </c>
    </row>
    <row r="185" ht="28" customHeight="1">
      <c r="A185" s="10" t="str">
        <v>Novelty (AI screening)</v>
      </c>
      <c r="B185" s="11" t="str">
        <v>A</v>
      </c>
    </row>
    <row r="186" ht="28" customHeight="1">
      <c r="A186" s="10" t="str">
        <v>Earliest located public date</v>
      </c>
      <c r="B186" s="12" t="n">
        <v>45442</v>
      </c>
    </row>
    <row r="187" ht="28" customHeight="1">
      <c r="A187" s="10" t="str">
        <v>Public date interval</v>
      </c>
      <c r="B187" s="11" t="str">
        <v>2024-01-01; 2024-05-30</v>
      </c>
    </row>
    <row r="188" ht="28" customHeight="1">
      <c r="A188" s="10" t="str">
        <v>Phenotype domains</v>
      </c>
      <c r="B188" s="11" t="str">
        <v>hearing</v>
      </c>
    </row>
    <row r="189" ht="28" customHeight="1">
      <c r="A189" s="10" t="str">
        <v>Unrelated families (lower bound)</v>
      </c>
      <c r="B189" s="11" t="n">
        <v>2</v>
      </c>
    </row>
    <row r="190" ht="46" customHeight="1">
      <c r="A190" s="10" t="str">
        <v>Evidence summary (AI)</v>
      </c>
      <c r="B190" s="11" t="str">
        <v>JATS results document four people from three families, sensorineural hearing loss and dolichol synthesis/glycosylation defect.</v>
      </c>
    </row>
    <row r="191" ht="46" customHeight="1">
      <c r="A191" s="10" t="str">
        <v>Qualifying functional evidence</v>
      </c>
      <c r="B191" s="11" t="str">
        <v>JATS results document four people from three families, sensorineural hearing loss and dolichol synthesis/glycosylation defect.</v>
      </c>
    </row>
    <row r="192" ht="46" customHeight="1">
      <c r="A192" s="10" t="str">
        <v>Eligibility rationale (AI)</v>
      </c>
      <c r="B192" s="11" t="str">
        <v>JATS results document four people from three families, sensorineural hearing loss and dolichol synthesis/glycosylation defect.</v>
      </c>
    </row>
    <row r="193" ht="28" customHeight="1">
      <c r="A193" s="10" t="str">
        <v>Replication PMIDs</v>
      </c>
      <c r="B193" s="11" t="str"/>
    </row>
    <row r="194" ht="28" customHeight="1">
      <c r="A194" s="10" t="str">
        <v>Replication evidence (AI)</v>
      </c>
      <c r="B194" s="11" t="str">
        <v>Not recorded in source</v>
      </c>
    </row>
    <row r="195" ht="46" customHeight="1">
      <c r="A195" s="10" t="str">
        <v>Generic AI inheritance summary</v>
      </c>
      <c r="B195" s="11" t="str">
        <v>Reported segregating biallelic/dominant or confirmed de novo genotypes consistent with the target phenotype; source-specific details in cited primary studies.</v>
      </c>
    </row>
    <row r="196" ht="28" customHeight="1">
      <c r="A196" s="10" t="str">
        <v>Reference keys</v>
      </c>
      <c r="B196" s="11" t="str">
        <v>MED:38821050</v>
      </c>
    </row>
    <row r="197" ht="26" customHeight="1">
      <c r="A197" s="2" t="str">
        <v>Primary literature / PubMed</v>
      </c>
      <c r="B197" s="13" t="str">
        <v>PMID 38821050</v>
      </c>
    </row>
    <row r="198" ht="28" customHeight="1">
      <c r="A198" s="2" t="str">
        <v>Author verification</v>
      </c>
      <c r="B198" s="13" t="str">
        <v>Return to DHRSX — enter human decisions in Review</v>
      </c>
    </row>
    <row r="199">
      <c r="A199" s="2"/>
      <c r="B199" s="2"/>
    </row>
    <row r="200" ht="30" customHeight="1">
      <c r="A200" s="8" t="str">
        <v>DNAJC30</v>
      </c>
      <c r="B200" s="8" t="str">
        <v>HGNC:16410</v>
      </c>
    </row>
    <row r="201" ht="28" customHeight="1">
      <c r="A201" s="10" t="str">
        <v>Novelty (AI screening)</v>
      </c>
      <c r="B201" s="11" t="str">
        <v>A</v>
      </c>
    </row>
    <row r="202" ht="28" customHeight="1">
      <c r="A202" s="10" t="str">
        <v>Earliest located public date</v>
      </c>
      <c r="B202" s="12" t="n">
        <v>44215</v>
      </c>
    </row>
    <row r="203" ht="28" customHeight="1">
      <c r="A203" s="10" t="str">
        <v>Public date interval</v>
      </c>
      <c r="B203" s="11" t="str">
        <v>2021-01-01; 2021-01-19</v>
      </c>
    </row>
    <row r="204" ht="28" customHeight="1">
      <c r="A204" s="10" t="str">
        <v>Phenotype domains</v>
      </c>
      <c r="B204" s="11" t="str">
        <v>optic</v>
      </c>
    </row>
    <row r="205" ht="28" customHeight="1">
      <c r="A205" s="10" t="str">
        <v>Unrelated families (lower bound)</v>
      </c>
      <c r="B205" s="11" t="n">
        <v>2</v>
      </c>
    </row>
    <row r="206" ht="28" customHeight="1">
      <c r="A206" s="10" t="str">
        <v>Evidence summary (AI)</v>
      </c>
      <c r="B206" s="11" t="str">
        <v>Recessive LHON in 29 families; complex I repair defect and rescue.</v>
      </c>
    </row>
    <row r="207" ht="28" customHeight="1">
      <c r="A207" s="10" t="str">
        <v>Qualifying functional evidence</v>
      </c>
      <c r="B207" s="11" t="str">
        <v>Recessive LHON in 29 families; complex I repair defect and rescue.</v>
      </c>
    </row>
    <row r="208" ht="28" customHeight="1">
      <c r="A208" s="10" t="str">
        <v>Eligibility rationale (AI)</v>
      </c>
      <c r="B208" s="11" t="str">
        <v>Recessive LHON in 29 families; complex I repair defect and rescue.</v>
      </c>
    </row>
    <row r="209" ht="28" customHeight="1">
      <c r="A209" s="10" t="str">
        <v>Replication PMIDs</v>
      </c>
      <c r="B209" s="11" t="str"/>
    </row>
    <row r="210" ht="28" customHeight="1">
      <c r="A210" s="10" t="str">
        <v>Replication evidence (AI)</v>
      </c>
      <c r="B210" s="11" t="str">
        <v>Not recorded in source</v>
      </c>
    </row>
    <row r="211" ht="46" customHeight="1">
      <c r="A211" s="10" t="str">
        <v>Generic AI inheritance summary</v>
      </c>
      <c r="B211" s="11" t="str">
        <v>Reported segregating biallelic/dominant or confirmed de novo genotypes consistent with the target phenotype; source-specific details in cited primary studies.</v>
      </c>
    </row>
    <row r="212" ht="28" customHeight="1">
      <c r="A212" s="10" t="str">
        <v>Reference keys</v>
      </c>
      <c r="B212" s="11" t="str">
        <v>MED:33465056</v>
      </c>
    </row>
    <row r="213" ht="26" customHeight="1">
      <c r="A213" s="2" t="str">
        <v>Primary literature / PubMed</v>
      </c>
      <c r="B213" s="13" t="str">
        <v>PMID 33465056</v>
      </c>
    </row>
    <row r="214" ht="28" customHeight="1">
      <c r="A214" s="2" t="str">
        <v>Author verification</v>
      </c>
      <c r="B214" s="13" t="str">
        <v>Return to DNAJC30 — enter human decisions in Review</v>
      </c>
    </row>
    <row r="215">
      <c r="A215" s="2"/>
      <c r="B215" s="2"/>
    </row>
    <row r="216" ht="30" customHeight="1">
      <c r="A216" s="8" t="str">
        <v>EFCAB1</v>
      </c>
      <c r="B216" s="8" t="str">
        <v>HGNC:25678</v>
      </c>
    </row>
    <row r="217" ht="28" customHeight="1">
      <c r="A217" s="10" t="str">
        <v>Novelty (AI screening)</v>
      </c>
      <c r="B217" s="11" t="str">
        <v>A</v>
      </c>
    </row>
    <row r="218" ht="28" customHeight="1">
      <c r="A218" s="10" t="str">
        <v>Earliest located public date</v>
      </c>
      <c r="B218" s="12" t="n">
        <v>44957</v>
      </c>
    </row>
    <row r="219" ht="28" customHeight="1">
      <c r="A219" s="10" t="str">
        <v>Public date interval</v>
      </c>
      <c r="B219" s="11" t="str">
        <v>2023-01-01; 2023-01-31</v>
      </c>
    </row>
    <row r="220" ht="28" customHeight="1">
      <c r="A220" s="10" t="str">
        <v>Phenotype domains</v>
      </c>
      <c r="B220" s="11" t="str">
        <v>motile_cilia</v>
      </c>
    </row>
    <row r="221" ht="28" customHeight="1">
      <c r="A221" s="10" t="str">
        <v>Unrelated families (lower bound)</v>
      </c>
      <c r="B221" s="11" t="n">
        <v>2</v>
      </c>
    </row>
    <row r="222" ht="46" customHeight="1">
      <c r="A222" s="10" t="str">
        <v>Evidence summary (AI)</v>
      </c>
      <c r="B222" s="11" t="str">
        <v>CLXN/ODAD5: three unrelated families with three distinct homozygous variants per PanelApp curation of primary report; ODA defects and functional planaria/animal evidence.</v>
      </c>
    </row>
    <row r="223" ht="46" customHeight="1">
      <c r="A223" s="10" t="str">
        <v>Qualifying functional evidence</v>
      </c>
      <c r="B223" s="11" t="str">
        <v>CLXN/ODAD5: three unrelated families with three distinct homozygous variants per PanelApp curation of primary report; ODA defects and functional planaria/animal evidence.</v>
      </c>
    </row>
    <row r="224" ht="46" customHeight="1">
      <c r="A224" s="10" t="str">
        <v>Eligibility rationale (AI)</v>
      </c>
      <c r="B224" s="11" t="str">
        <v>CLXN/ODAD5: three unrelated families with three distinct homozygous variants per PanelApp curation of primary report; ODA defects and functional planaria/animal evidence.</v>
      </c>
    </row>
    <row r="225" ht="28" customHeight="1">
      <c r="A225" s="10" t="str">
        <v>Replication PMIDs</v>
      </c>
      <c r="B225" s="11" t="str"/>
    </row>
    <row r="226" ht="28" customHeight="1">
      <c r="A226" s="10" t="str">
        <v>Replication evidence (AI)</v>
      </c>
      <c r="B226" s="11" t="str">
        <v>Not recorded in source</v>
      </c>
    </row>
    <row r="227" ht="46" customHeight="1">
      <c r="A227" s="10" t="str">
        <v>Generic AI inheritance summary</v>
      </c>
      <c r="B227" s="11" t="str">
        <v>Reported segregating biallelic/dominant or confirmed de novo genotypes consistent with the target phenotype; source-specific details in cited primary studies.</v>
      </c>
    </row>
    <row r="228" ht="28" customHeight="1">
      <c r="A228" s="10" t="str">
        <v>Reference keys</v>
      </c>
      <c r="B228" s="11" t="str">
        <v>MED:36727596</v>
      </c>
    </row>
    <row r="229" ht="26" customHeight="1">
      <c r="A229" s="2" t="str">
        <v>Primary literature / PubMed</v>
      </c>
      <c r="B229" s="13" t="str">
        <v>PMID 36727596</v>
      </c>
    </row>
    <row r="230" ht="28" customHeight="1">
      <c r="A230" s="2" t="str">
        <v>Author verification</v>
      </c>
      <c r="B230" s="13" t="str">
        <v>Return to EFCAB1 — enter human decisions in Review</v>
      </c>
    </row>
    <row r="231">
      <c r="A231" s="2"/>
      <c r="B231" s="2"/>
    </row>
    <row r="232" ht="30" customHeight="1">
      <c r="A232" s="8" t="str">
        <v>FSD1L</v>
      </c>
      <c r="B232" s="8" t="str">
        <v>HGNC:13753</v>
      </c>
    </row>
    <row r="233" ht="28" customHeight="1">
      <c r="A233" s="10" t="str">
        <v>Novelty (AI screening)</v>
      </c>
      <c r="B233" s="11" t="str">
        <v>A</v>
      </c>
    </row>
    <row r="234" ht="28" customHeight="1">
      <c r="A234" s="10" t="str">
        <v>Earliest located public date</v>
      </c>
      <c r="B234" s="12" t="n">
        <v>46072</v>
      </c>
    </row>
    <row r="235" ht="28" customHeight="1">
      <c r="A235" s="10" t="str">
        <v>Public date interval</v>
      </c>
      <c r="B235" s="11" t="str">
        <v>2026-01-01; 2026-02-19</v>
      </c>
    </row>
    <row r="236" ht="28" customHeight="1">
      <c r="A236" s="10" t="str">
        <v>Phenotype domains</v>
      </c>
      <c r="B236" s="11" t="str">
        <v>retinal</v>
      </c>
    </row>
    <row r="237" ht="28" customHeight="1">
      <c r="A237" s="10" t="str">
        <v>Unrelated families (lower bound)</v>
      </c>
      <c r="B237" s="11" t="n">
        <v>2</v>
      </c>
    </row>
    <row r="238" ht="46" customHeight="1">
      <c r="A238" s="10" t="str">
        <v>Evidence summary (AI)</v>
      </c>
      <c r="B238" s="11" t="str">
        <v>Retinal paper has six affected individuals from four families; splice assays and retina axoneme localization, companion neurodevelopmental/cilia functional report same public date.</v>
      </c>
    </row>
    <row r="239" ht="46" customHeight="1">
      <c r="A239" s="10" t="str">
        <v>Qualifying functional evidence</v>
      </c>
      <c r="B239" s="11" t="str">
        <v>Retinal paper has six affected individuals from four families; splice assays and retina axoneme localization, companion neurodevelopmental/cilia functional report same public date.</v>
      </c>
    </row>
    <row r="240" ht="46" customHeight="1">
      <c r="A240" s="10" t="str">
        <v>Eligibility rationale (AI)</v>
      </c>
      <c r="B240" s="11" t="str">
        <v>Retinal paper has six affected individuals from four families; splice assays and retina axoneme localization, companion neurodevelopmental/cilia functional report same public date.</v>
      </c>
    </row>
    <row r="241" ht="28" customHeight="1">
      <c r="A241" s="10" t="str">
        <v>Replication PMIDs</v>
      </c>
      <c r="B241" s="11" t="str"/>
    </row>
    <row r="242" ht="28" customHeight="1">
      <c r="A242" s="10" t="str">
        <v>Replication evidence (AI)</v>
      </c>
      <c r="B242" s="11" t="str">
        <v>Not recorded in source</v>
      </c>
    </row>
    <row r="243" ht="46" customHeight="1">
      <c r="A243" s="10" t="str">
        <v>Generic AI inheritance summary</v>
      </c>
      <c r="B243" s="11" t="str">
        <v>Reported segregating biallelic/dominant or confirmed de novo genotypes consistent with the target phenotype; source-specific details in cited primary studies.</v>
      </c>
    </row>
    <row r="244" ht="28" customHeight="1">
      <c r="A244" s="10" t="str">
        <v>Reference keys</v>
      </c>
      <c r="B244" s="11" t="str">
        <v>MED:41720098; MED:41720099</v>
      </c>
    </row>
    <row r="245" ht="26" customHeight="1">
      <c r="A245" s="2" t="str">
        <v>Primary literature / PubMed</v>
      </c>
      <c r="B245" s="13" t="str">
        <v>PMID 41720098</v>
      </c>
    </row>
    <row r="246" ht="26" customHeight="1">
      <c r="A246" s="2" t="str">
        <v>Primary literature / PubMed</v>
      </c>
      <c r="B246" s="13" t="str">
        <v>PMID 41720099</v>
      </c>
    </row>
    <row r="247" ht="28" customHeight="1">
      <c r="A247" s="2" t="str">
        <v>Author verification</v>
      </c>
      <c r="B247" s="13" t="str">
        <v>Return to FSD1L — enter human decisions in Review</v>
      </c>
    </row>
    <row r="248">
      <c r="A248" s="2"/>
      <c r="B248" s="2"/>
    </row>
    <row r="249" ht="30" customHeight="1">
      <c r="A249" s="8" t="str">
        <v>GPATCH11</v>
      </c>
      <c r="B249" s="8" t="str">
        <v>HGNC:26768</v>
      </c>
    </row>
    <row r="250" ht="28" customHeight="1">
      <c r="A250" s="10" t="str">
        <v>Novelty (AI screening)</v>
      </c>
      <c r="B250" s="11" t="str">
        <v>A</v>
      </c>
    </row>
    <row r="251" ht="28" customHeight="1">
      <c r="A251" s="10" t="str">
        <v>Earliest located public date</v>
      </c>
      <c r="B251" s="12" t="n">
        <v>45159</v>
      </c>
    </row>
    <row r="252" ht="28" customHeight="1">
      <c r="A252" s="10" t="str">
        <v>Public date interval</v>
      </c>
      <c r="B252" s="11" t="str">
        <v>2023-01-01; 2023-08-21</v>
      </c>
    </row>
    <row r="253" ht="28" customHeight="1">
      <c r="A253" s="10" t="str">
        <v>Phenotype domains</v>
      </c>
      <c r="B253" s="11" t="str">
        <v>retinal</v>
      </c>
    </row>
    <row r="254" ht="28" customHeight="1">
      <c r="A254" s="10" t="str">
        <v>Unrelated families (lower bound)</v>
      </c>
      <c r="B254" s="11" t="n">
        <v>3</v>
      </c>
    </row>
    <row r="255" ht="46" customHeight="1">
      <c r="A255" s="10" t="str">
        <v>Evidence summary (AI)</v>
      </c>
      <c r="B255" s="11" t="str">
        <v>JATS documents six unrelated families, retinal dystrophy, patient splice defect and matching mouse phenotype. First located preprint PPR705483 2023-08-21, not 2024 journal date.</v>
      </c>
    </row>
    <row r="256" ht="46" customHeight="1">
      <c r="A256" s="10" t="str">
        <v>Qualifying functional evidence</v>
      </c>
      <c r="B256" s="11" t="str">
        <v>JATS documents six unrelated families, retinal dystrophy, patient splice defect and matching mouse phenotype. First located preprint PPR705483 2023-08-21, not 2024 journal date.</v>
      </c>
    </row>
    <row r="257" ht="46" customHeight="1">
      <c r="A257" s="10" t="str">
        <v>Eligibility rationale (AI)</v>
      </c>
      <c r="B257" s="11" t="str">
        <v>JATS documents six unrelated families, retinal dystrophy, patient splice defect and matching mouse phenotype. First located preprint PPR705483 2023-08-21, not 2024 journal date.</v>
      </c>
    </row>
    <row r="258" ht="28" customHeight="1">
      <c r="A258" s="10" t="str">
        <v>Replication PMIDs</v>
      </c>
      <c r="B258" s="11" t="str"/>
    </row>
    <row r="259" ht="28" customHeight="1">
      <c r="A259" s="10" t="str">
        <v>Replication evidence (AI)</v>
      </c>
      <c r="B259" s="11" t="str">
        <v>Not recorded in source</v>
      </c>
    </row>
    <row r="260" ht="46" customHeight="1">
      <c r="A260" s="10" t="str">
        <v>Generic AI inheritance summary</v>
      </c>
      <c r="B260" s="11" t="str">
        <v>Reported segregating biallelic/dominant or confirmed de novo genotypes consistent with the target phenotype; source-specific details in cited primary studies.</v>
      </c>
    </row>
    <row r="261" ht="28" customHeight="1">
      <c r="A261" s="10" t="str">
        <v>Reference keys</v>
      </c>
      <c r="B261" s="11" t="str">
        <v>MED:39572588</v>
      </c>
    </row>
    <row r="262" ht="26" customHeight="1">
      <c r="A262" s="2" t="str">
        <v>Primary literature / PubMed</v>
      </c>
      <c r="B262" s="13" t="str">
        <v>PMID 39572588</v>
      </c>
    </row>
    <row r="263" ht="28" customHeight="1">
      <c r="A263" s="2" t="str">
        <v>Author verification</v>
      </c>
      <c r="B263" s="13" t="str">
        <v>Return to GPATCH11 — enter human decisions in Review</v>
      </c>
    </row>
    <row r="264">
      <c r="A264" s="2"/>
      <c r="B264" s="2"/>
    </row>
    <row r="265" ht="30" customHeight="1">
      <c r="A265" s="8" t="str">
        <v>GPR156</v>
      </c>
      <c r="B265" s="8" t="str">
        <v>HGNC:20844</v>
      </c>
    </row>
    <row r="266" ht="28" customHeight="1">
      <c r="A266" s="10" t="str">
        <v>Novelty (AI screening)</v>
      </c>
      <c r="B266" s="11" t="str">
        <v>A</v>
      </c>
    </row>
    <row r="267" ht="28" customHeight="1">
      <c r="A267" s="10" t="str">
        <v>Earliest located public date</v>
      </c>
      <c r="B267" s="12" t="n">
        <v>45001</v>
      </c>
    </row>
    <row r="268" ht="28" customHeight="1">
      <c r="A268" s="10" t="str">
        <v>Public date interval</v>
      </c>
      <c r="B268" s="11" t="str">
        <v>2023-01-01; 2023-03-16</v>
      </c>
    </row>
    <row r="269" ht="28" customHeight="1">
      <c r="A269" s="10" t="str">
        <v>Phenotype domains</v>
      </c>
      <c r="B269" s="11" t="str">
        <v>hearing</v>
      </c>
    </row>
    <row r="270" ht="28" customHeight="1">
      <c r="A270" s="10" t="str">
        <v>Unrelated families (lower bound)</v>
      </c>
      <c r="B270" s="11" t="n">
        <v>2</v>
      </c>
    </row>
    <row r="271" ht="46" customHeight="1">
      <c r="A271" s="10" t="str">
        <v>Evidence summary (AI)</v>
      </c>
      <c r="B271" s="11" t="str">
        <v>JATS GPR156 section documents eight affected individuals in three pedigrees; truncating variants and receptor dysfunction assays.</v>
      </c>
    </row>
    <row r="272" ht="46" customHeight="1">
      <c r="A272" s="10" t="str">
        <v>Qualifying functional evidence</v>
      </c>
      <c r="B272" s="11" t="str">
        <v>JATS GPR156 section documents eight affected individuals in three pedigrees; truncating variants and receptor dysfunction assays.</v>
      </c>
    </row>
    <row r="273" ht="46" customHeight="1">
      <c r="A273" s="10" t="str">
        <v>Eligibility rationale (AI)</v>
      </c>
      <c r="B273" s="11" t="str">
        <v>JATS GPR156 section documents eight affected individuals in three pedigrees; truncating variants and receptor dysfunction assays.</v>
      </c>
    </row>
    <row r="274" ht="28" customHeight="1">
      <c r="A274" s="10" t="str">
        <v>Replication PMIDs</v>
      </c>
      <c r="B274" s="11" t="str"/>
    </row>
    <row r="275" ht="28" customHeight="1">
      <c r="A275" s="10" t="str">
        <v>Replication evidence (AI)</v>
      </c>
      <c r="B275" s="11" t="str">
        <v>Not recorded in source</v>
      </c>
    </row>
    <row r="276" ht="46" customHeight="1">
      <c r="A276" s="10" t="str">
        <v>Generic AI inheritance summary</v>
      </c>
      <c r="B276" s="11" t="str">
        <v>Reported segregating biallelic/dominant or confirmed de novo genotypes consistent with the target phenotype; source-specific details in cited primary studies.</v>
      </c>
    </row>
    <row r="277" ht="28" customHeight="1">
      <c r="A277" s="10" t="str">
        <v>Reference keys</v>
      </c>
      <c r="B277" s="11" t="str">
        <v>MED:36928819</v>
      </c>
    </row>
    <row r="278" ht="26" customHeight="1">
      <c r="A278" s="2" t="str">
        <v>Primary literature / PubMed</v>
      </c>
      <c r="B278" s="13" t="str">
        <v>PMID 36928819</v>
      </c>
    </row>
    <row r="279" ht="28" customHeight="1">
      <c r="A279" s="2" t="str">
        <v>Author verification</v>
      </c>
      <c r="B279" s="13" t="str">
        <v>Return to GPR156 — enter human decisions in Review</v>
      </c>
    </row>
    <row r="280">
      <c r="A280" s="2"/>
      <c r="B280" s="2"/>
    </row>
    <row r="281" ht="30" customHeight="1">
      <c r="A281" s="8" t="str">
        <v>IDH3G</v>
      </c>
      <c r="B281" s="8" t="str">
        <v>HGNC:5386</v>
      </c>
    </row>
    <row r="282" ht="28" customHeight="1">
      <c r="A282" s="10" t="str">
        <v>Novelty (AI screening)</v>
      </c>
      <c r="B282" s="11" t="str">
        <v>A</v>
      </c>
    </row>
    <row r="283" ht="28" customHeight="1">
      <c r="A283" s="10" t="str">
        <v>Earliest located public date</v>
      </c>
      <c r="B283" s="12" t="n">
        <v>45735</v>
      </c>
    </row>
    <row r="284" ht="28" customHeight="1">
      <c r="A284" s="10" t="str">
        <v>Public date interval</v>
      </c>
      <c r="B284" s="11" t="str">
        <v>2025-01-01; 2025-03-19</v>
      </c>
    </row>
    <row r="285" ht="28" customHeight="1">
      <c r="A285" s="10" t="str">
        <v>Phenotype domains</v>
      </c>
      <c r="B285" s="11" t="str">
        <v>retinal</v>
      </c>
    </row>
    <row r="286" ht="28" customHeight="1">
      <c r="A286" s="10" t="str">
        <v>Unrelated families (lower bound)</v>
      </c>
      <c r="B286" s="11" t="n">
        <v>2</v>
      </c>
    </row>
    <row r="287" ht="28" customHeight="1">
      <c r="A287" s="10" t="str">
        <v>Evidence summary (AI)</v>
      </c>
      <c r="B287" s="11" t="str">
        <v>Five unrelated men; segregation of variants/deletion with RP and mitochondrial/protein assays.</v>
      </c>
    </row>
    <row r="288" ht="28" customHeight="1">
      <c r="A288" s="10" t="str">
        <v>Qualifying functional evidence</v>
      </c>
      <c r="B288" s="11" t="str">
        <v>Five unrelated men; segregation of variants/deletion with RP and mitochondrial/protein assays.</v>
      </c>
    </row>
    <row r="289" ht="28" customHeight="1">
      <c r="A289" s="10" t="str">
        <v>Eligibility rationale (AI)</v>
      </c>
      <c r="B289" s="11" t="str">
        <v>Five unrelated men; segregation of variants/deletion with RP and mitochondrial/protein assays.</v>
      </c>
    </row>
    <row r="290" ht="28" customHeight="1">
      <c r="A290" s="10" t="str">
        <v>Replication PMIDs</v>
      </c>
      <c r="B290" s="11" t="str"/>
    </row>
    <row r="291" ht="28" customHeight="1">
      <c r="A291" s="10" t="str">
        <v>Replication evidence (AI)</v>
      </c>
      <c r="B291" s="11" t="str">
        <v>Not recorded in source</v>
      </c>
    </row>
    <row r="292" ht="46" customHeight="1">
      <c r="A292" s="10" t="str">
        <v>Generic AI inheritance summary</v>
      </c>
      <c r="B292" s="11" t="str">
        <v>Reported segregating biallelic/dominant or confirmed de novo genotypes consistent with the target phenotype; source-specific details in cited primary studies.</v>
      </c>
    </row>
    <row r="293" ht="28" customHeight="1">
      <c r="A293" s="10" t="str">
        <v>Reference keys</v>
      </c>
      <c r="B293" s="11" t="str">
        <v>MED:40119724</v>
      </c>
    </row>
    <row r="294" ht="26" customHeight="1">
      <c r="A294" s="2" t="str">
        <v>Primary literature / PubMed</v>
      </c>
      <c r="B294" s="13" t="str">
        <v>PMID 40119724</v>
      </c>
    </row>
    <row r="295" ht="28" customHeight="1">
      <c r="A295" s="2" t="str">
        <v>Author verification</v>
      </c>
      <c r="B295" s="13" t="str">
        <v>Return to IDH3G — enter human decisions in Review</v>
      </c>
    </row>
    <row r="296">
      <c r="A296" s="2"/>
      <c r="B296" s="2"/>
    </row>
    <row r="297" ht="30" customHeight="1">
      <c r="A297" s="8" t="str">
        <v>INTS11</v>
      </c>
      <c r="B297" s="8" t="str">
        <v>HGNC:26052</v>
      </c>
    </row>
    <row r="298" ht="28" customHeight="1">
      <c r="A298" s="10" t="str">
        <v>Novelty (AI screening)</v>
      </c>
      <c r="B298" s="11" t="str">
        <v>A</v>
      </c>
    </row>
    <row r="299" ht="28" customHeight="1">
      <c r="A299" s="10" t="str">
        <v>Earliest located public date</v>
      </c>
      <c r="B299" s="12" t="n">
        <v>45028</v>
      </c>
    </row>
    <row r="300" ht="28" customHeight="1">
      <c r="A300" s="10" t="str">
        <v>Public date interval</v>
      </c>
      <c r="B300" s="11" t="str">
        <v>2023-01-01; 2023-04-12</v>
      </c>
    </row>
    <row r="301" ht="28" customHeight="1">
      <c r="A301" s="10" t="str">
        <v>Phenotype domains</v>
      </c>
      <c r="B301" s="11" t="str">
        <v>retinal</v>
      </c>
    </row>
    <row r="302" ht="28" customHeight="1">
      <c r="A302" s="10" t="str">
        <v>Unrelated families (lower bound)</v>
      </c>
      <c r="B302" s="11" t="n">
        <v>2</v>
      </c>
    </row>
    <row r="303" ht="82" customHeight="1">
      <c r="A303" s="10" t="str">
        <v>Evidence summary (AI)</v>
      </c>
      <c r="B303" s="11" t="str">
        <v>First germline neurological report in 2023 already noted retinal dystrophy in one family; 2026 independent family gives two retinal families with detailed electrophysiology. Variant-specific catalytic/mitotic assays in 2023. First target and stronger-target dates separate; post-cutoff maturation within holdout does not exclude genewise novel-target case.</v>
      </c>
    </row>
    <row r="304" ht="82" customHeight="1">
      <c r="A304" s="10" t="str">
        <v>Qualifying functional evidence</v>
      </c>
      <c r="B304" s="11" t="str">
        <v>First germline neurological report in 2023 already noted retinal dystrophy in one family; 2026 independent family gives two retinal families with detailed electrophysiology. Variant-specific catalytic/mitotic assays in 2023. First target and stronger-target dates separate; post-cutoff maturation within holdout does not exclude genewise novel-target case.</v>
      </c>
    </row>
    <row r="305" ht="82" customHeight="1">
      <c r="A305" s="10" t="str">
        <v>Eligibility rationale (AI)</v>
      </c>
      <c r="B305" s="11" t="str">
        <v>First germline neurological report in 2023 already noted retinal dystrophy in one family; 2026 independent family gives two retinal families with detailed electrophysiology. Variant-specific catalytic/mitotic assays in 2023. First target and stronger-target dates separate; post-cutoff maturation within holdout does not exclude genewise novel-target case.</v>
      </c>
    </row>
    <row r="306" ht="28" customHeight="1">
      <c r="A306" s="10" t="str">
        <v>Replication PMIDs</v>
      </c>
      <c r="B306" s="11" t="str"/>
    </row>
    <row r="307" ht="28" customHeight="1">
      <c r="A307" s="10" t="str">
        <v>Replication evidence (AI)</v>
      </c>
      <c r="B307" s="11" t="str">
        <v>Not recorded in source</v>
      </c>
    </row>
    <row r="308" ht="46" customHeight="1">
      <c r="A308" s="10" t="str">
        <v>Generic AI inheritance summary</v>
      </c>
      <c r="B308" s="11" t="str">
        <v>Reported segregating biallelic/dominant or confirmed de novo genotypes consistent with the target phenotype; source-specific details in cited primary studies.</v>
      </c>
    </row>
    <row r="309" ht="28" customHeight="1">
      <c r="A309" s="10" t="str">
        <v>Reference keys</v>
      </c>
      <c r="B309" s="11" t="str">
        <v>MED:37054711; MED:37980560; MED:41810893</v>
      </c>
    </row>
    <row r="310" ht="26" customHeight="1">
      <c r="A310" s="2" t="str">
        <v>Primary literature / PubMed</v>
      </c>
      <c r="B310" s="13" t="str">
        <v>PMID 37054711</v>
      </c>
    </row>
    <row r="311" ht="26" customHeight="1">
      <c r="A311" s="2" t="str">
        <v>Primary literature / PubMed</v>
      </c>
      <c r="B311" s="13" t="str">
        <v>PMID 37980560</v>
      </c>
    </row>
    <row r="312" ht="26" customHeight="1">
      <c r="A312" s="2" t="str">
        <v>Primary literature / PubMed</v>
      </c>
      <c r="B312" s="13" t="str">
        <v>PMID 41810893</v>
      </c>
    </row>
    <row r="313" ht="28" customHeight="1">
      <c r="A313" s="2" t="str">
        <v>Author verification</v>
      </c>
      <c r="B313" s="13" t="str">
        <v>Return to INTS11 — enter human decisions in Review</v>
      </c>
    </row>
    <row r="314">
      <c r="A314" s="2"/>
      <c r="B314" s="2"/>
    </row>
    <row r="315" ht="30" customHeight="1">
      <c r="A315" s="8" t="str">
        <v>KCNJ16</v>
      </c>
      <c r="B315" s="8" t="str">
        <v>HGNC:6262</v>
      </c>
    </row>
    <row r="316" ht="28" customHeight="1">
      <c r="A316" s="10" t="str">
        <v>Novelty (AI screening)</v>
      </c>
      <c r="B316" s="11" t="str">
        <v>A</v>
      </c>
    </row>
    <row r="317" ht="28" customHeight="1">
      <c r="A317" s="10" t="str">
        <v>Earliest located public date</v>
      </c>
      <c r="B317" s="12" t="n">
        <v>44288</v>
      </c>
    </row>
    <row r="318" ht="28" customHeight="1">
      <c r="A318" s="10" t="str">
        <v>Public date interval</v>
      </c>
      <c r="B318" s="11" t="str">
        <v>2021-01-01; 2021-04-02</v>
      </c>
    </row>
    <row r="319" ht="28" customHeight="1">
      <c r="A319" s="10" t="str">
        <v>Phenotype domains</v>
      </c>
      <c r="B319" s="11" t="str">
        <v>hearing</v>
      </c>
    </row>
    <row r="320" ht="28" customHeight="1">
      <c r="A320" s="10" t="str">
        <v>Unrelated families (lower bound)</v>
      </c>
      <c r="B320" s="11" t="n">
        <v>7</v>
      </c>
    </row>
    <row r="321" ht="46" customHeight="1">
      <c r="A321" s="10" t="str">
        <v>Evidence summary (AI)</v>
      </c>
      <c r="B321" s="11" t="str">
        <v>Eight affected people and subsequent case; channel electrophysiology. Pre-2020 search hits concern causal KCNJ10, not KCNJ16.</v>
      </c>
    </row>
    <row r="322" ht="46" customHeight="1">
      <c r="A322" s="10" t="str">
        <v>Qualifying functional evidence</v>
      </c>
      <c r="B322" s="11" t="str">
        <v>Eight affected people and subsequent case; channel electrophysiology. Pre-2020 search hits concern causal KCNJ10, not KCNJ16.</v>
      </c>
    </row>
    <row r="323" ht="46" customHeight="1">
      <c r="A323" s="10" t="str">
        <v>Eligibility rationale (AI)</v>
      </c>
      <c r="B323" s="11" t="str">
        <v>Eight affected people and subsequent case; channel electrophysiology. Pre-2020 search hits concern causal KCNJ10, not KCNJ16.</v>
      </c>
    </row>
    <row r="324" ht="28" customHeight="1">
      <c r="A324" s="10" t="str">
        <v>Replication PMIDs</v>
      </c>
      <c r="B324" s="11" t="str"/>
    </row>
    <row r="325" ht="28" customHeight="1">
      <c r="A325" s="10" t="str">
        <v>Replication evidence (AI)</v>
      </c>
      <c r="B325" s="11" t="str">
        <v>Not recorded in source</v>
      </c>
    </row>
    <row r="326" ht="46" customHeight="1">
      <c r="A326" s="10" t="str">
        <v>Generic AI inheritance summary</v>
      </c>
      <c r="B326" s="11" t="str">
        <v>Reported segregating biallelic/dominant or confirmed de novo genotypes consistent with the target phenotype; source-specific details in cited primary studies.</v>
      </c>
    </row>
    <row r="327" ht="28" customHeight="1">
      <c r="A327" s="10" t="str">
        <v>Reference keys</v>
      </c>
      <c r="B327" s="11" t="str">
        <v>MED:33811157; MED:33840812</v>
      </c>
    </row>
    <row r="328" ht="26" customHeight="1">
      <c r="A328" s="2" t="str">
        <v>Primary literature / PubMed</v>
      </c>
      <c r="B328" s="13" t="str">
        <v>PMID 33811157</v>
      </c>
    </row>
    <row r="329" ht="26" customHeight="1">
      <c r="A329" s="2" t="str">
        <v>Primary literature / PubMed</v>
      </c>
      <c r="B329" s="13" t="str">
        <v>PMID 33840812</v>
      </c>
    </row>
    <row r="330" ht="28" customHeight="1">
      <c r="A330" s="2" t="str">
        <v>Author verification</v>
      </c>
      <c r="B330" s="13" t="str">
        <v>Return to KCNJ16 — enter human decisions in Review</v>
      </c>
    </row>
    <row r="331">
      <c r="A331" s="2"/>
      <c r="B331" s="2"/>
    </row>
    <row r="332" ht="30" customHeight="1">
      <c r="A332" s="8" t="str">
        <v>KIAA1024L</v>
      </c>
      <c r="B332" s="8" t="str">
        <v>HGNC:33914</v>
      </c>
    </row>
    <row r="333" ht="28" customHeight="1">
      <c r="A333" s="10" t="str">
        <v>Novelty (AI screening)</v>
      </c>
      <c r="B333" s="11" t="str">
        <v>A</v>
      </c>
    </row>
    <row r="334" ht="28" customHeight="1">
      <c r="A334" s="10" t="str">
        <v>Earliest located public date</v>
      </c>
      <c r="B334" s="12" t="n">
        <v>44733</v>
      </c>
    </row>
    <row r="335" ht="28" customHeight="1">
      <c r="A335" s="10" t="str">
        <v>Public date interval</v>
      </c>
      <c r="B335" s="11" t="str">
        <v>2022-01-01; 2022-06-21</v>
      </c>
    </row>
    <row r="336" ht="28" customHeight="1">
      <c r="A336" s="10" t="str">
        <v>Phenotype domains</v>
      </c>
      <c r="B336" s="11" t="str">
        <v>hearing</v>
      </c>
    </row>
    <row r="337" ht="28" customHeight="1">
      <c r="A337" s="10" t="str">
        <v>Unrelated families (lower bound)</v>
      </c>
      <c r="B337" s="11" t="n">
        <v>2</v>
      </c>
    </row>
    <row r="338" ht="64" customHeight="1">
      <c r="A338" s="10" t="str">
        <v>Evidence summary (AI)</v>
      </c>
      <c r="B338" s="11" t="str">
        <v>MINAR2: thirteen affected individuals in four unrelated families and animal hair-cell/function assays. The 2020 paper explicitly says minar2 had no human ortholog in its screened set; it does not report MINAR2 pathogenic human variants.</v>
      </c>
    </row>
    <row r="339" ht="64" customHeight="1">
      <c r="A339" s="10" t="str">
        <v>Qualifying functional evidence</v>
      </c>
      <c r="B339" s="11" t="str">
        <v>MINAR2: thirteen affected individuals in four unrelated families and animal hair-cell/function assays. The 2020 paper explicitly says minar2 had no human ortholog in its screened set; it does not report MINAR2 pathogenic human variants.</v>
      </c>
    </row>
    <row r="340" ht="64" customHeight="1">
      <c r="A340" s="10" t="str">
        <v>Eligibility rationale (AI)</v>
      </c>
      <c r="B340" s="11" t="str">
        <v>MINAR2: thirteen affected individuals in four unrelated families and animal hair-cell/function assays. The 2020 paper explicitly says minar2 had no human ortholog in its screened set; it does not report MINAR2 pathogenic human variants.</v>
      </c>
    </row>
    <row r="341" ht="28" customHeight="1">
      <c r="A341" s="10" t="str">
        <v>Replication PMIDs</v>
      </c>
      <c r="B341" s="11" t="str"/>
    </row>
    <row r="342" ht="28" customHeight="1">
      <c r="A342" s="10" t="str">
        <v>Replication evidence (AI)</v>
      </c>
      <c r="B342" s="11" t="str">
        <v>Not recorded in source</v>
      </c>
    </row>
    <row r="343" ht="46" customHeight="1">
      <c r="A343" s="10" t="str">
        <v>Generic AI inheritance summary</v>
      </c>
      <c r="B343" s="11" t="str">
        <v>Reported segregating biallelic/dominant or confirmed de novo genotypes consistent with the target phenotype; source-specific details in cited primary studies.</v>
      </c>
    </row>
    <row r="344" ht="28" customHeight="1">
      <c r="A344" s="10" t="str">
        <v>Reference keys</v>
      </c>
      <c r="B344" s="11" t="str">
        <v>MED:35727972</v>
      </c>
    </row>
    <row r="345" ht="26" customHeight="1">
      <c r="A345" s="2" t="str">
        <v>Primary literature / PubMed</v>
      </c>
      <c r="B345" s="13" t="str">
        <v>PMID 35727972</v>
      </c>
    </row>
    <row r="346" ht="28" customHeight="1">
      <c r="A346" s="2" t="str">
        <v>Author verification</v>
      </c>
      <c r="B346" s="13" t="str">
        <v>Return to KIAA1024L — enter human decisions in Review</v>
      </c>
    </row>
    <row r="347">
      <c r="A347" s="2"/>
      <c r="B347" s="2"/>
    </row>
    <row r="348" ht="30" customHeight="1">
      <c r="A348" s="8" t="str">
        <v>LIG3</v>
      </c>
      <c r="B348" s="8" t="str">
        <v>HGNC:6600</v>
      </c>
    </row>
    <row r="349" ht="28" customHeight="1">
      <c r="A349" s="10" t="str">
        <v>Novelty (AI screening)</v>
      </c>
      <c r="B349" s="11" t="str">
        <v>A</v>
      </c>
    </row>
    <row r="350" ht="28" customHeight="1">
      <c r="A350" s="10" t="str">
        <v>Earliest located public date</v>
      </c>
      <c r="B350" s="12" t="n">
        <v>44301</v>
      </c>
    </row>
    <row r="351" ht="28" customHeight="1">
      <c r="A351" s="10" t="str">
        <v>Public date interval</v>
      </c>
      <c r="B351" s="11" t="str">
        <v>2021-01-01; 2021-04-15</v>
      </c>
    </row>
    <row r="352" ht="28" customHeight="1">
      <c r="A352" s="10" t="str">
        <v>Phenotype domains</v>
      </c>
      <c r="B352" s="11" t="str">
        <v>retinal; hearing</v>
      </c>
    </row>
    <row r="353" ht="28" customHeight="1">
      <c r="A353" s="10" t="str">
        <v>Unrelated families (lower bound)</v>
      </c>
      <c r="B353" s="11" t="n">
        <v>2</v>
      </c>
    </row>
    <row r="354" ht="64" customHeight="1">
      <c r="A354" s="10" t="str">
        <v>Evidence summary (AI)</v>
      </c>
      <c r="B354" s="11" t="str">
        <v>Original Bonora2021 Table1: macular degeneration in patients1-1/1-2/2-1/2-2 establishes two unrelated retinal families; patient3-2 also has hearing loss. Patient-cell ligase/mtDNA functional defects and zebrafish phenotype. Received/accepted2020 are not public dates.</v>
      </c>
    </row>
    <row r="355" ht="64" customHeight="1">
      <c r="A355" s="10" t="str">
        <v>Qualifying functional evidence</v>
      </c>
      <c r="B355" s="11" t="str">
        <v>Original Bonora2021 Table1: macular degeneration in patients1-1/1-2/2-1/2-2 establishes two unrelated retinal families; patient3-2 also has hearing loss. Patient-cell ligase/mtDNA functional defects and zebrafish phenotype. Received/accepted2020 are not public dates.</v>
      </c>
    </row>
    <row r="356" ht="64" customHeight="1">
      <c r="A356" s="10" t="str">
        <v>Eligibility rationale (AI)</v>
      </c>
      <c r="B356" s="11" t="str">
        <v>Original Bonora2021 Table1: macular degeneration in patients1-1/1-2/2-1/2-2 establishes two unrelated retinal families; patient3-2 also has hearing loss. Patient-cell ligase/mtDNA functional defects and zebrafish phenotype. Received/accepted2020 are not public dates.</v>
      </c>
    </row>
    <row r="357" ht="28" customHeight="1">
      <c r="A357" s="10" t="str">
        <v>Replication PMIDs</v>
      </c>
      <c r="B357" s="11" t="str"/>
    </row>
    <row r="358" ht="28" customHeight="1">
      <c r="A358" s="10" t="str">
        <v>Replication evidence (AI)</v>
      </c>
      <c r="B358" s="11" t="str">
        <v>Not recorded in source</v>
      </c>
    </row>
    <row r="359" ht="46" customHeight="1">
      <c r="A359" s="10" t="str">
        <v>Generic AI inheritance summary</v>
      </c>
      <c r="B359" s="11" t="str">
        <v>Reported segregating biallelic/dominant or confirmed de novo genotypes consistent with the target phenotype; source-specific details in cited primary studies.</v>
      </c>
    </row>
    <row r="360" ht="28" customHeight="1">
      <c r="A360" s="10" t="str">
        <v>Reference keys</v>
      </c>
      <c r="B360" s="11" t="str">
        <v>MED:33855352</v>
      </c>
    </row>
    <row r="361" ht="26" customHeight="1">
      <c r="A361" s="2" t="str">
        <v>Primary literature / PubMed</v>
      </c>
      <c r="B361" s="13" t="str">
        <v>PMID 33855352</v>
      </c>
    </row>
    <row r="362" ht="28" customHeight="1">
      <c r="A362" s="2" t="str">
        <v>Author verification</v>
      </c>
      <c r="B362" s="13" t="str">
        <v>Return to LIG3 — enter human decisions in Review</v>
      </c>
    </row>
    <row r="363">
      <c r="A363" s="2"/>
      <c r="B363" s="2"/>
    </row>
    <row r="364" ht="30" customHeight="1">
      <c r="A364" s="8" t="str">
        <v>MRPL49</v>
      </c>
      <c r="B364" s="8" t="str">
        <v>HGNC:1176</v>
      </c>
    </row>
    <row r="365" ht="28" customHeight="1">
      <c r="A365" s="10" t="str">
        <v>Novelty (AI screening)</v>
      </c>
      <c r="B365" s="11" t="str">
        <v>A</v>
      </c>
    </row>
    <row r="366" ht="28" customHeight="1">
      <c r="A366" s="10" t="str">
        <v>Earliest located public date</v>
      </c>
      <c r="B366" s="12" t="n">
        <v>45576</v>
      </c>
    </row>
    <row r="367" ht="28" customHeight="1">
      <c r="A367" s="10" t="str">
        <v>Public date interval</v>
      </c>
      <c r="B367" s="11" t="str">
        <v>2022-01-01; 2024-10-11</v>
      </c>
    </row>
    <row r="368" ht="28" customHeight="1">
      <c r="A368" s="10" t="str">
        <v>Phenotype domains</v>
      </c>
      <c r="B368" s="11" t="str">
        <v>hearing; retinal</v>
      </c>
    </row>
    <row r="369" ht="28" customHeight="1">
      <c r="A369" s="10" t="str">
        <v>Unrelated families (lower bound)</v>
      </c>
      <c r="B369" s="11" t="n">
        <v>7</v>
      </c>
    </row>
    <row r="370" ht="46" customHeight="1">
      <c r="A370" s="10" t="str">
        <v>Evidence summary (AI)</v>
      </c>
      <c r="B370" s="11" t="str">
        <v>Nine families with hearing loss, leukodystrophy/ovarian insufficiency and retinal involvement; complexome/function support. PPR923018 posted 2024-10-11.</v>
      </c>
    </row>
    <row r="371" ht="46" customHeight="1">
      <c r="A371" s="10" t="str">
        <v>Qualifying functional evidence</v>
      </c>
      <c r="B371" s="11" t="str">
        <v>Nine families with hearing loss, leukodystrophy/ovarian insufficiency and retinal involvement; complexome/function support. PPR923018 posted 2024-10-11.</v>
      </c>
    </row>
    <row r="372" ht="46" customHeight="1">
      <c r="A372" s="10" t="str">
        <v>Eligibility rationale (AI)</v>
      </c>
      <c r="B372" s="11" t="str">
        <v>Nine families with hearing loss, leukodystrophy/ovarian insufficiency and retinal involvement; complexome/function support. PPR923018 posted 2024-10-11.</v>
      </c>
    </row>
    <row r="373" ht="28" customHeight="1">
      <c r="A373" s="10" t="str">
        <v>Replication PMIDs</v>
      </c>
      <c r="B373" s="11" t="str"/>
    </row>
    <row r="374" ht="28" customHeight="1">
      <c r="A374" s="10" t="str">
        <v>Replication evidence (AI)</v>
      </c>
      <c r="B374" s="11" t="str">
        <v>Not recorded in source</v>
      </c>
    </row>
    <row r="375" ht="46" customHeight="1">
      <c r="A375" s="10" t="str">
        <v>Generic AI inheritance summary</v>
      </c>
      <c r="B375" s="11" t="str">
        <v>Reported segregating biallelic/dominant or confirmed de novo genotypes consistent with the target phenotype; source-specific details in cited primary studies.</v>
      </c>
    </row>
    <row r="376" ht="28" customHeight="1">
      <c r="A376" s="10" t="str">
        <v>Reference keys</v>
      </c>
      <c r="B376" s="11" t="str">
        <v>MED:40043708</v>
      </c>
    </row>
    <row r="377" ht="26" customHeight="1">
      <c r="A377" s="2" t="str">
        <v>Primary literature / PubMed</v>
      </c>
      <c r="B377" s="13" t="str">
        <v>PMID 40043708</v>
      </c>
    </row>
    <row r="378" ht="28" customHeight="1">
      <c r="A378" s="2" t="str">
        <v>Author verification</v>
      </c>
      <c r="B378" s="13" t="str">
        <v>Return to MRPL49 — enter human decisions in Review</v>
      </c>
    </row>
    <row r="379">
      <c r="A379" s="2"/>
      <c r="B379" s="2"/>
    </row>
    <row r="380" ht="30" customHeight="1">
      <c r="A380" s="8" t="str">
        <v>PDIA6</v>
      </c>
      <c r="B380" s="8" t="str">
        <v>HGNC:30168</v>
      </c>
    </row>
    <row r="381" ht="28" customHeight="1">
      <c r="A381" s="10" t="str">
        <v>Novelty (AI screening)</v>
      </c>
      <c r="B381" s="11" t="str">
        <v>A</v>
      </c>
    </row>
    <row r="382" ht="28" customHeight="1">
      <c r="A382" s="10" t="str">
        <v>Earliest located public date</v>
      </c>
      <c r="B382" s="12" t="n">
        <v>44222</v>
      </c>
    </row>
    <row r="383" ht="28" customHeight="1">
      <c r="A383" s="10" t="str">
        <v>Public date interval</v>
      </c>
      <c r="B383" s="11" t="str">
        <v>2021-01-01; 2021-01-26</v>
      </c>
    </row>
    <row r="384" ht="28" customHeight="1">
      <c r="A384" s="10" t="str">
        <v>Phenotype domains</v>
      </c>
      <c r="B384" s="11" t="str">
        <v>primary_cilia</v>
      </c>
    </row>
    <row r="385" ht="28" customHeight="1">
      <c r="A385" s="10" t="str">
        <v>Unrelated families (lower bound)</v>
      </c>
      <c r="B385" s="11" t="n">
        <v>2</v>
      </c>
    </row>
    <row r="386" ht="46" customHeight="1">
      <c r="A386" s="10" t="str">
        <v>Evidence summary (AI)</v>
      </c>
      <c r="B386" s="11" t="str">
        <v>Initial ATD/polycystic kidney case with loss-of-function support, independent second patient and later third report; gene depletion cilia assays in 2024.</v>
      </c>
    </row>
    <row r="387" ht="46" customHeight="1">
      <c r="A387" s="10" t="str">
        <v>Qualifying functional evidence</v>
      </c>
      <c r="B387" s="11" t="str">
        <v>Initial ATD/polycystic kidney case with loss-of-function support, independent second patient and later third report; gene depletion cilia assays in 2024.</v>
      </c>
    </row>
    <row r="388" ht="46" customHeight="1">
      <c r="A388" s="10" t="str">
        <v>Eligibility rationale (AI)</v>
      </c>
      <c r="B388" s="11" t="str">
        <v>Initial ATD/polycystic kidney case with loss-of-function support, independent second patient and later third report; gene depletion cilia assays in 2024.</v>
      </c>
    </row>
    <row r="389" ht="28" customHeight="1">
      <c r="A389" s="10" t="str">
        <v>Replication PMIDs</v>
      </c>
      <c r="B389" s="11" t="str"/>
    </row>
    <row r="390" ht="28" customHeight="1">
      <c r="A390" s="10" t="str">
        <v>Replication evidence (AI)</v>
      </c>
      <c r="B390" s="11" t="str">
        <v>Not recorded in source</v>
      </c>
    </row>
    <row r="391" ht="46" customHeight="1">
      <c r="A391" s="10" t="str">
        <v>Generic AI inheritance summary</v>
      </c>
      <c r="B391" s="11" t="str">
        <v>Reported segregating biallelic/dominant or confirmed de novo genotypes consistent with the target phenotype; source-specific details in cited primary studies.</v>
      </c>
    </row>
    <row r="392" ht="28" customHeight="1">
      <c r="A392" s="10" t="str">
        <v>Reference keys</v>
      </c>
      <c r="B392" s="11" t="str">
        <v>MED:33495992; MED:35856135; MED:40974269</v>
      </c>
    </row>
    <row r="393" ht="26" customHeight="1">
      <c r="A393" s="2" t="str">
        <v>Primary literature / PubMed</v>
      </c>
      <c r="B393" s="13" t="str">
        <v>PMID 33495992</v>
      </c>
    </row>
    <row r="394" ht="26" customHeight="1">
      <c r="A394" s="2" t="str">
        <v>Primary literature / PubMed</v>
      </c>
      <c r="B394" s="13" t="str">
        <v>PMID 35856135</v>
      </c>
    </row>
    <row r="395" ht="26" customHeight="1">
      <c r="A395" s="2" t="str">
        <v>Primary literature / PubMed</v>
      </c>
      <c r="B395" s="13" t="str">
        <v>PMID 40974269</v>
      </c>
    </row>
    <row r="396" ht="28" customHeight="1">
      <c r="A396" s="2" t="str">
        <v>Author verification</v>
      </c>
      <c r="B396" s="13" t="str">
        <v>Return to PDIA6 — enter human decisions in Review</v>
      </c>
    </row>
    <row r="397">
      <c r="A397" s="2"/>
      <c r="B397" s="2"/>
    </row>
    <row r="398" ht="30" customHeight="1">
      <c r="A398" s="8" t="str">
        <v>PKHD1L1</v>
      </c>
      <c r="B398" s="8" t="str">
        <v>HGNC:20313</v>
      </c>
    </row>
    <row r="399" ht="28" customHeight="1">
      <c r="A399" s="10" t="str">
        <v>Novelty (AI screening)</v>
      </c>
      <c r="B399" s="11" t="str">
        <v>A</v>
      </c>
    </row>
    <row r="400" ht="28" customHeight="1">
      <c r="A400" s="10" t="str">
        <v>Earliest located public date</v>
      </c>
      <c r="B400" s="12" t="n">
        <v>45208</v>
      </c>
    </row>
    <row r="401" ht="28" customHeight="1">
      <c r="A401" s="10" t="str">
        <v>Public date interval</v>
      </c>
      <c r="B401" s="11" t="str">
        <v>2023-01-01; 2023-10-09</v>
      </c>
    </row>
    <row r="402" ht="28" customHeight="1">
      <c r="A402" s="10" t="str">
        <v>Phenotype domains</v>
      </c>
      <c r="B402" s="11" t="str">
        <v>hearing</v>
      </c>
    </row>
    <row r="403" ht="28" customHeight="1">
      <c r="A403" s="10" t="str">
        <v>Unrelated families (lower bound)</v>
      </c>
      <c r="B403" s="11" t="n">
        <v>2</v>
      </c>
    </row>
    <row r="404" ht="64" customHeight="1">
      <c r="A404" s="10" t="str">
        <v>Evidence summary (AI)</v>
      </c>
      <c r="B404" s="11" t="str">
        <v>Four recessive hearing families with splicing/protein support; PPR737916 posted 2023-10-09. Earlier diabetic retinopathy common-risk/candidate screen is not automatically Mendelian hearing association.</v>
      </c>
    </row>
    <row r="405" ht="64" customHeight="1">
      <c r="A405" s="10" t="str">
        <v>Qualifying functional evidence</v>
      </c>
      <c r="B405" s="11" t="str">
        <v>Four recessive hearing families with splicing/protein support; PPR737916 posted 2023-10-09. Earlier diabetic retinopathy common-risk/candidate screen is not automatically Mendelian hearing association.</v>
      </c>
    </row>
    <row r="406" ht="64" customHeight="1">
      <c r="A406" s="10" t="str">
        <v>Eligibility rationale (AI)</v>
      </c>
      <c r="B406" s="11" t="str">
        <v>Four recessive hearing families with splicing/protein support; PPR737916 posted 2023-10-09. Earlier diabetic retinopathy common-risk/candidate screen is not automatically Mendelian hearing association.</v>
      </c>
    </row>
    <row r="407" ht="28" customHeight="1">
      <c r="A407" s="10" t="str">
        <v>Replication PMIDs</v>
      </c>
      <c r="B407" s="11" t="str"/>
    </row>
    <row r="408" ht="28" customHeight="1">
      <c r="A408" s="10" t="str">
        <v>Replication evidence (AI)</v>
      </c>
      <c r="B408" s="11" t="str">
        <v>Not recorded in source</v>
      </c>
    </row>
    <row r="409" ht="46" customHeight="1">
      <c r="A409" s="10" t="str">
        <v>Generic AI inheritance summary</v>
      </c>
      <c r="B409" s="11" t="str">
        <v>Reported segregating biallelic/dominant or confirmed de novo genotypes consistent with the target phenotype; source-specific details in cited primary studies.</v>
      </c>
    </row>
    <row r="410" ht="28" customHeight="1">
      <c r="A410" s="10" t="str">
        <v>Reference keys</v>
      </c>
      <c r="B410" s="11" t="str">
        <v>MED:38459354</v>
      </c>
    </row>
    <row r="411" ht="26" customHeight="1">
      <c r="A411" s="2" t="str">
        <v>Primary literature / PubMed</v>
      </c>
      <c r="B411" s="13" t="str">
        <v>PMID 38459354</v>
      </c>
    </row>
    <row r="412" ht="28" customHeight="1">
      <c r="A412" s="2" t="str">
        <v>Author verification</v>
      </c>
      <c r="B412" s="13" t="str">
        <v>Return to PKHD1L1 — enter human decisions in Review</v>
      </c>
    </row>
    <row r="413">
      <c r="A413" s="2"/>
      <c r="B413" s="2"/>
    </row>
    <row r="414" ht="30" customHeight="1">
      <c r="A414" s="8" t="str">
        <v>PLCG1</v>
      </c>
      <c r="B414" s="8" t="str">
        <v>HGNC:9065</v>
      </c>
    </row>
    <row r="415" ht="28" customHeight="1">
      <c r="A415" s="10" t="str">
        <v>Novelty (AI screening)</v>
      </c>
      <c r="B415" s="11" t="str">
        <v>B</v>
      </c>
    </row>
    <row r="416" ht="28" customHeight="1">
      <c r="A416" s="10" t="str">
        <v>Earliest located public date</v>
      </c>
      <c r="B416" s="12" t="n">
        <v>45300</v>
      </c>
    </row>
    <row r="417" ht="28" customHeight="1">
      <c r="A417" s="10" t="str">
        <v>Public date interval</v>
      </c>
      <c r="B417" s="11" t="str">
        <v>2024-01-01; 2024-01-09</v>
      </c>
    </row>
    <row r="418" ht="28" customHeight="1">
      <c r="A418" s="10" t="str">
        <v>Phenotype domains</v>
      </c>
      <c r="B418" s="11" t="str">
        <v>hearing</v>
      </c>
    </row>
    <row r="419" ht="28" customHeight="1">
      <c r="A419" s="10" t="str">
        <v>Unrelated families (lower bound)</v>
      </c>
      <c r="B419" s="11" t="n">
        <v>3</v>
      </c>
    </row>
    <row r="420" ht="46" customHeight="1">
      <c r="A420" s="10" t="str">
        <v>Evidence summary (AI)</v>
      </c>
      <c r="B420" s="11" t="str">
        <v>Earlier germline immune disorder in 2023, later seven hearing/ocular cases plus variant-specific fly functional assays; 2024 preprint precedes 2025 publication.</v>
      </c>
    </row>
    <row r="421" ht="46" customHeight="1">
      <c r="A421" s="10" t="str">
        <v>Qualifying functional evidence</v>
      </c>
      <c r="B421" s="11" t="str">
        <v>Earlier germline immune disorder in 2023, later seven hearing/ocular cases plus variant-specific fly functional assays; 2024 preprint precedes 2025 publication.</v>
      </c>
    </row>
    <row r="422" ht="46" customHeight="1">
      <c r="A422" s="10" t="str">
        <v>Eligibility rationale (AI)</v>
      </c>
      <c r="B422" s="11" t="str">
        <v>Earlier germline immune disorder in 2023, later seven hearing/ocular cases plus variant-specific fly functional assays; 2024 preprint precedes 2025 publication.</v>
      </c>
    </row>
    <row r="423" ht="28" customHeight="1">
      <c r="A423" s="10" t="str">
        <v>Replication PMIDs</v>
      </c>
      <c r="B423" s="11" t="str"/>
    </row>
    <row r="424" ht="28" customHeight="1">
      <c r="A424" s="10" t="str">
        <v>Replication evidence (AI)</v>
      </c>
      <c r="B424" s="11" t="str">
        <v>Not recorded in source</v>
      </c>
    </row>
    <row r="425" ht="46" customHeight="1">
      <c r="A425" s="10" t="str">
        <v>Generic AI inheritance summary</v>
      </c>
      <c r="B425" s="11" t="str">
        <v>Reported segregating biallelic/dominant or confirmed de novo genotypes consistent with the target phenotype; source-specific details in cited primary studies.</v>
      </c>
    </row>
    <row r="426" ht="28" customHeight="1">
      <c r="A426" s="10" t="str">
        <v>Reference keys</v>
      </c>
      <c r="B426" s="11" t="str">
        <v>MED:37422272; MED:40862571</v>
      </c>
    </row>
    <row r="427" ht="26" customHeight="1">
      <c r="A427" s="2" t="str">
        <v>Primary literature / PubMed</v>
      </c>
      <c r="B427" s="13" t="str">
        <v>PMID 37422272</v>
      </c>
    </row>
    <row r="428" ht="26" customHeight="1">
      <c r="A428" s="2" t="str">
        <v>Primary literature / PubMed</v>
      </c>
      <c r="B428" s="13" t="str">
        <v>PMID 40862571</v>
      </c>
    </row>
    <row r="429" ht="28" customHeight="1">
      <c r="A429" s="2" t="str">
        <v>Author verification</v>
      </c>
      <c r="B429" s="13" t="str">
        <v>Return to PLCG1 — enter human decisions in Review</v>
      </c>
    </row>
    <row r="430">
      <c r="A430" s="2"/>
      <c r="B430" s="2"/>
    </row>
    <row r="431" ht="30" customHeight="1">
      <c r="A431" s="8" t="str">
        <v>PSKH1</v>
      </c>
      <c r="B431" s="8" t="str">
        <v>HGNC:9529</v>
      </c>
    </row>
    <row r="432" ht="28" customHeight="1">
      <c r="A432" s="10" t="str">
        <v>Novelty (AI screening)</v>
      </c>
      <c r="B432" s="11" t="str">
        <v>A</v>
      </c>
    </row>
    <row r="433" ht="28" customHeight="1">
      <c r="A433" s="10" t="str">
        <v>Earliest located public date</v>
      </c>
      <c r="B433" s="12" t="n">
        <v>45513</v>
      </c>
    </row>
    <row r="434" ht="28" customHeight="1">
      <c r="A434" s="10" t="str">
        <v>Public date interval</v>
      </c>
      <c r="B434" s="11" t="str">
        <v>2024-01-01; 2024-08-09</v>
      </c>
    </row>
    <row r="435" ht="28" customHeight="1">
      <c r="A435" s="10" t="str">
        <v>Phenotype domains</v>
      </c>
      <c r="B435" s="11" t="str">
        <v>primary_cilia</v>
      </c>
    </row>
    <row r="436" ht="28" customHeight="1">
      <c r="A436" s="10" t="str">
        <v>Unrelated families (lower bound)</v>
      </c>
      <c r="B436" s="11" t="n">
        <v>2</v>
      </c>
    </row>
    <row r="437" ht="28" customHeight="1">
      <c r="A437" s="10" t="str">
        <v>Evidence summary (AI)</v>
      </c>
      <c r="B437" s="11" t="str">
        <v>Four hepatorenal ciliopathy families; patient cilia, mutant mouse and variant kinase assays.</v>
      </c>
    </row>
    <row r="438" ht="28" customHeight="1">
      <c r="A438" s="10" t="str">
        <v>Qualifying functional evidence</v>
      </c>
      <c r="B438" s="11" t="str">
        <v>Four hepatorenal ciliopathy families; patient cilia, mutant mouse and variant kinase assays.</v>
      </c>
    </row>
    <row r="439" ht="28" customHeight="1">
      <c r="A439" s="10" t="str">
        <v>Eligibility rationale (AI)</v>
      </c>
      <c r="B439" s="11" t="str">
        <v>Four hepatorenal ciliopathy families; patient cilia, mutant mouse and variant kinase assays.</v>
      </c>
    </row>
    <row r="440" ht="28" customHeight="1">
      <c r="A440" s="10" t="str">
        <v>Replication PMIDs</v>
      </c>
      <c r="B440" s="11" t="str"/>
    </row>
    <row r="441" ht="28" customHeight="1">
      <c r="A441" s="10" t="str">
        <v>Replication evidence (AI)</v>
      </c>
      <c r="B441" s="11" t="str">
        <v>Not recorded in source</v>
      </c>
    </row>
    <row r="442" ht="46" customHeight="1">
      <c r="A442" s="10" t="str">
        <v>Generic AI inheritance summary</v>
      </c>
      <c r="B442" s="11" t="str">
        <v>Reported segregating biallelic/dominant or confirmed de novo genotypes consistent with the target phenotype; source-specific details in cited primary studies.</v>
      </c>
    </row>
    <row r="443" ht="28" customHeight="1">
      <c r="A443" s="10" t="str">
        <v>Reference keys</v>
      </c>
      <c r="B443" s="11" t="str">
        <v>MED:39132680</v>
      </c>
    </row>
    <row r="444" ht="26" customHeight="1">
      <c r="A444" s="2" t="str">
        <v>Primary literature / PubMed</v>
      </c>
      <c r="B444" s="13" t="str">
        <v>PMID 39132680</v>
      </c>
    </row>
    <row r="445" ht="28" customHeight="1">
      <c r="A445" s="2" t="str">
        <v>Author verification</v>
      </c>
      <c r="B445" s="13" t="str">
        <v>Return to PSKH1 — enter human decisions in Review</v>
      </c>
    </row>
    <row r="446">
      <c r="A446" s="2"/>
      <c r="B446" s="2"/>
    </row>
    <row r="447" ht="30" customHeight="1">
      <c r="A447" s="8" t="str">
        <v>RFC4</v>
      </c>
      <c r="B447" s="8" t="str">
        <v>HGNC:9972</v>
      </c>
    </row>
    <row r="448" ht="28" customHeight="1">
      <c r="A448" s="10" t="str">
        <v>Novelty (AI screening)</v>
      </c>
      <c r="B448" s="11" t="str">
        <v>A</v>
      </c>
    </row>
    <row r="449" ht="28" customHeight="1">
      <c r="A449" s="10" t="str">
        <v>Earliest located public date</v>
      </c>
      <c r="B449" s="12" t="n">
        <v>45509</v>
      </c>
    </row>
    <row r="450" ht="28" customHeight="1">
      <c r="A450" s="10" t="str">
        <v>Public date interval</v>
      </c>
      <c r="B450" s="11" t="str">
        <v>2024-01-01; 2024-08-05</v>
      </c>
    </row>
    <row r="451" ht="28" customHeight="1">
      <c r="A451" s="10" t="str">
        <v>Phenotype domains</v>
      </c>
      <c r="B451" s="11" t="str">
        <v>hearing</v>
      </c>
    </row>
    <row r="452" ht="28" customHeight="1">
      <c r="A452" s="10" t="str">
        <v>Unrelated families (lower bound)</v>
      </c>
      <c r="B452" s="11" t="n">
        <v>2</v>
      </c>
    </row>
    <row r="453" ht="46" customHeight="1">
      <c r="A453" s="10" t="str">
        <v>Evidence summary (AI)</v>
      </c>
      <c r="B453" s="11" t="str">
        <v>Nine people from eight unrelated families per PanelApp primary-reference curation; RFC complex instability and variant assays.</v>
      </c>
    </row>
    <row r="454" ht="46" customHeight="1">
      <c r="A454" s="10" t="str">
        <v>Qualifying functional evidence</v>
      </c>
      <c r="B454" s="11" t="str">
        <v>Nine people from eight unrelated families per PanelApp primary-reference curation; RFC complex instability and variant assays.</v>
      </c>
    </row>
    <row r="455" ht="46" customHeight="1">
      <c r="A455" s="10" t="str">
        <v>Eligibility rationale (AI)</v>
      </c>
      <c r="B455" s="11" t="str">
        <v>Nine people from eight unrelated families per PanelApp primary-reference curation; RFC complex instability and variant assays.</v>
      </c>
    </row>
    <row r="456" ht="28" customHeight="1">
      <c r="A456" s="10" t="str">
        <v>Replication PMIDs</v>
      </c>
      <c r="B456" s="11" t="str"/>
    </row>
    <row r="457" ht="28" customHeight="1">
      <c r="A457" s="10" t="str">
        <v>Replication evidence (AI)</v>
      </c>
      <c r="B457" s="11" t="str">
        <v>Not recorded in source</v>
      </c>
    </row>
    <row r="458" ht="46" customHeight="1">
      <c r="A458" s="10" t="str">
        <v>Generic AI inheritance summary</v>
      </c>
      <c r="B458" s="11" t="str">
        <v>Reported segregating biallelic/dominant or confirmed de novo genotypes consistent with the target phenotype; source-specific details in cited primary studies.</v>
      </c>
    </row>
    <row r="459" ht="28" customHeight="1">
      <c r="A459" s="10" t="str">
        <v>Reference keys</v>
      </c>
      <c r="B459" s="11" t="str">
        <v>MED:39106866</v>
      </c>
    </row>
    <row r="460" ht="26" customHeight="1">
      <c r="A460" s="2" t="str">
        <v>Primary literature / PubMed</v>
      </c>
      <c r="B460" s="13" t="str">
        <v>PMID 39106866</v>
      </c>
    </row>
    <row r="461" ht="28" customHeight="1">
      <c r="A461" s="2" t="str">
        <v>Author verification</v>
      </c>
      <c r="B461" s="13" t="str">
        <v>Return to RFC4 — enter human decisions in Review</v>
      </c>
    </row>
    <row r="462">
      <c r="A462" s="2"/>
      <c r="B462" s="2"/>
    </row>
    <row r="463" ht="30" customHeight="1">
      <c r="A463" s="8" t="str">
        <v>RNF220</v>
      </c>
      <c r="B463" s="8" t="str">
        <v>HGNC:25552</v>
      </c>
    </row>
    <row r="464" ht="28" customHeight="1">
      <c r="A464" s="10" t="str">
        <v>Novelty (AI screening)</v>
      </c>
      <c r="B464" s="11" t="str">
        <v>A</v>
      </c>
    </row>
    <row r="465" ht="28" customHeight="1">
      <c r="A465" s="10" t="str">
        <v>Earliest located public date</v>
      </c>
      <c r="B465" s="12" t="n">
        <v>44324</v>
      </c>
    </row>
    <row r="466" ht="28" customHeight="1">
      <c r="A466" s="10" t="str">
        <v>Public date interval</v>
      </c>
      <c r="B466" s="11" t="str">
        <v>2021-01-01; 2021-05-08</v>
      </c>
    </row>
    <row r="467" ht="28" customHeight="1">
      <c r="A467" s="10" t="str">
        <v>Phenotype domains</v>
      </c>
      <c r="B467" s="11" t="str">
        <v>hearing</v>
      </c>
    </row>
    <row r="468" ht="28" customHeight="1">
      <c r="A468" s="10" t="str">
        <v>Unrelated families (lower bound)</v>
      </c>
      <c r="B468" s="11" t="n">
        <v>2</v>
      </c>
    </row>
    <row r="469" ht="64" customHeight="1">
      <c r="A469" s="10" t="str">
        <v>Evidence summary (AI)</v>
      </c>
      <c r="B469" s="11" t="str">
        <v>Original nine people in four Roma pedigrees plus one Italian family; shared Roma founder haplotype does not create four independent backgrounds. Independent Chinese report36083980 supports replication; variant lamin-binding assays.</v>
      </c>
    </row>
    <row r="470" ht="64" customHeight="1">
      <c r="A470" s="10" t="str">
        <v>Qualifying functional evidence</v>
      </c>
      <c r="B470" s="11" t="str">
        <v>Original nine people in four Roma pedigrees plus one Italian family; shared Roma founder haplotype does not create four independent backgrounds. Independent Chinese report36083980 supports replication; variant lamin-binding assays.</v>
      </c>
    </row>
    <row r="471" ht="64" customHeight="1">
      <c r="A471" s="10" t="str">
        <v>Eligibility rationale (AI)</v>
      </c>
      <c r="B471" s="11" t="str">
        <v>Original nine people in four Roma pedigrees plus one Italian family; shared Roma founder haplotype does not create four independent backgrounds. Independent Chinese report36083980 supports replication; variant lamin-binding assays.</v>
      </c>
    </row>
    <row r="472" ht="28" customHeight="1">
      <c r="A472" s="10" t="str">
        <v>Replication PMIDs</v>
      </c>
      <c r="B472" s="11" t="str"/>
    </row>
    <row r="473" ht="28" customHeight="1">
      <c r="A473" s="10" t="str">
        <v>Replication evidence (AI)</v>
      </c>
      <c r="B473" s="11" t="str">
        <v>Not recorded in source</v>
      </c>
    </row>
    <row r="474" ht="46" customHeight="1">
      <c r="A474" s="10" t="str">
        <v>Generic AI inheritance summary</v>
      </c>
      <c r="B474" s="11" t="str">
        <v>Reported segregating biallelic/dominant or confirmed de novo genotypes consistent with the target phenotype; source-specific details in cited primary studies.</v>
      </c>
    </row>
    <row r="475" ht="28" customHeight="1">
      <c r="A475" s="10" t="str">
        <v>Reference keys</v>
      </c>
      <c r="B475" s="11" t="str">
        <v>MED:33964137</v>
      </c>
    </row>
    <row r="476" ht="26" customHeight="1">
      <c r="A476" s="2" t="str">
        <v>Primary literature / PubMed</v>
      </c>
      <c r="B476" s="13" t="str">
        <v>PMID 33964137</v>
      </c>
    </row>
    <row r="477" ht="28" customHeight="1">
      <c r="A477" s="2" t="str">
        <v>Author verification</v>
      </c>
      <c r="B477" s="13" t="str">
        <v>Return to RNF220 — enter human decisions in Review</v>
      </c>
    </row>
    <row r="478">
      <c r="A478" s="2"/>
      <c r="B478" s="2"/>
    </row>
    <row r="479" ht="30" customHeight="1">
      <c r="A479" s="8" t="str">
        <v>RNU4-2</v>
      </c>
      <c r="B479" s="8" t="str">
        <v>HGNC:10193</v>
      </c>
    </row>
    <row r="480" ht="28" customHeight="1">
      <c r="A480" s="10" t="str">
        <v>Novelty (AI screening)</v>
      </c>
      <c r="B480" s="11" t="str">
        <v>B</v>
      </c>
    </row>
    <row r="481" ht="28" customHeight="1">
      <c r="A481" s="10" t="str">
        <v>Earliest located public date</v>
      </c>
      <c r="B481" s="12" t="n">
        <v>45663</v>
      </c>
    </row>
    <row r="482" ht="28" customHeight="1">
      <c r="A482" s="10" t="str">
        <v>Public date interval</v>
      </c>
      <c r="B482" s="11" t="str">
        <v>2025-01-01; 2025-01-06</v>
      </c>
    </row>
    <row r="483" ht="28" customHeight="1">
      <c r="A483" s="10" t="str">
        <v>Phenotype domains</v>
      </c>
      <c r="B483" s="11" t="str">
        <v>retinal</v>
      </c>
    </row>
    <row r="484" ht="28" customHeight="1">
      <c r="A484" s="10" t="str">
        <v>Unrelated families (lower bound)</v>
      </c>
      <c r="B484" s="11" t="n">
        <v>15</v>
      </c>
    </row>
    <row r="485" ht="46" customHeight="1">
      <c r="A485" s="10" t="str">
        <v>Evidence summary (AI)</v>
      </c>
      <c r="B485" s="11" t="str">
        <v>41 individuals from15 retinalfamilies; mutant RNA mechanistic assays. Prior2024 NDD association is non-target. Noncoding gene retained for end-to-end universe attrition.</v>
      </c>
    </row>
    <row r="486" ht="46" customHeight="1">
      <c r="A486" s="10" t="str">
        <v>Qualifying functional evidence</v>
      </c>
      <c r="B486" s="11" t="str">
        <v>41 individuals from15 retinalfamilies; mutant RNA mechanistic assays. Prior2024 NDD association is non-target. Noncoding gene retained for end-to-end universe attrition.</v>
      </c>
    </row>
    <row r="487" ht="46" customHeight="1">
      <c r="A487" s="10" t="str">
        <v>Eligibility rationale (AI)</v>
      </c>
      <c r="B487" s="11" t="str">
        <v>41 individuals from15 retinalfamilies; mutant RNA mechanistic assays. Prior2024 NDD association is non-target. Noncoding gene retained for end-to-end universe attrition.</v>
      </c>
    </row>
    <row r="488" ht="28" customHeight="1">
      <c r="A488" s="10" t="str">
        <v>Replication PMIDs</v>
      </c>
      <c r="B488" s="11" t="str"/>
    </row>
    <row r="489" ht="28" customHeight="1">
      <c r="A489" s="10" t="str">
        <v>Replication evidence (AI)</v>
      </c>
      <c r="B489" s="11" t="str">
        <v>Not recorded in source</v>
      </c>
    </row>
    <row r="490" ht="46" customHeight="1">
      <c r="A490" s="10" t="str">
        <v>Generic AI inheritance summary</v>
      </c>
      <c r="B490" s="11" t="str">
        <v>Reported segregating biallelic/dominant or confirmed de novo genotypes consistent with the target phenotype; source-specific details in cited primary studies.</v>
      </c>
    </row>
    <row r="491" ht="28" customHeight="1">
      <c r="A491" s="10" t="str">
        <v>Reference keys</v>
      </c>
      <c r="B491" s="11" t="str">
        <v>MED:41513982</v>
      </c>
    </row>
    <row r="492" ht="26" customHeight="1">
      <c r="A492" s="2" t="str">
        <v>Primary literature / PubMed</v>
      </c>
      <c r="B492" s="13" t="str">
        <v>PMID 41513982</v>
      </c>
    </row>
    <row r="493" ht="28" customHeight="1">
      <c r="A493" s="2" t="str">
        <v>Author verification</v>
      </c>
      <c r="B493" s="13" t="str">
        <v>Return to RNU4-2 — enter human decisions in Review</v>
      </c>
    </row>
    <row r="494">
      <c r="A494" s="2"/>
      <c r="B494" s="2"/>
    </row>
    <row r="495" ht="30" customHeight="1">
      <c r="A495" s="8" t="str">
        <v>RNU6-2</v>
      </c>
      <c r="B495" s="8" t="str">
        <v>HGNC:34270</v>
      </c>
    </row>
    <row r="496" ht="28" customHeight="1">
      <c r="A496" s="10" t="str">
        <v>Novelty (AI screening)</v>
      </c>
      <c r="B496" s="11" t="str">
        <v>A</v>
      </c>
    </row>
    <row r="497" ht="28" customHeight="1">
      <c r="A497" s="10" t="str">
        <v>Earliest located public date</v>
      </c>
      <c r="B497" s="12" t="n">
        <v>45663</v>
      </c>
    </row>
    <row r="498" ht="28" customHeight="1">
      <c r="A498" s="10" t="str">
        <v>Public date interval</v>
      </c>
      <c r="B498" s="11" t="str">
        <v>2025-01-01; 2025-01-06</v>
      </c>
    </row>
    <row r="499" ht="28" customHeight="1">
      <c r="A499" s="10" t="str">
        <v>Phenotype domains</v>
      </c>
      <c r="B499" s="11" t="str">
        <v>retinal</v>
      </c>
    </row>
    <row r="500" ht="28" customHeight="1">
      <c r="A500" s="10" t="str">
        <v>Unrelated families (lower bound)</v>
      </c>
      <c r="B500" s="11" t="n">
        <v>4</v>
      </c>
    </row>
    <row r="501" ht="46" customHeight="1">
      <c r="A501" s="10" t="str">
        <v>Evidence summary (AI)</v>
      </c>
      <c r="B501" s="11" t="str">
        <v>Original cohortfour retinalfamilies per gene and shared RNA mutant-mechanism experiments; noncoding universe attrition.</v>
      </c>
    </row>
    <row r="502" ht="46" customHeight="1">
      <c r="A502" s="10" t="str">
        <v>Qualifying functional evidence</v>
      </c>
      <c r="B502" s="11" t="str">
        <v>Original cohortfour retinalfamilies per gene and shared RNA mutant-mechanism experiments; noncoding universe attrition.</v>
      </c>
    </row>
    <row r="503" ht="46" customHeight="1">
      <c r="A503" s="10" t="str">
        <v>Eligibility rationale (AI)</v>
      </c>
      <c r="B503" s="11" t="str">
        <v>Original cohortfour retinalfamilies per gene and shared RNA mutant-mechanism experiments; noncoding universe attrition.</v>
      </c>
    </row>
    <row r="504" ht="28" customHeight="1">
      <c r="A504" s="10" t="str">
        <v>Replication PMIDs</v>
      </c>
      <c r="B504" s="11" t="str"/>
    </row>
    <row r="505" ht="28" customHeight="1">
      <c r="A505" s="10" t="str">
        <v>Replication evidence (AI)</v>
      </c>
      <c r="B505" s="11" t="str">
        <v>Not recorded in source</v>
      </c>
    </row>
    <row r="506" ht="46" customHeight="1">
      <c r="A506" s="10" t="str">
        <v>Generic AI inheritance summary</v>
      </c>
      <c r="B506" s="11" t="str">
        <v>Reported segregating biallelic/dominant or confirmed de novo genotypes consistent with the target phenotype; source-specific details in cited primary studies.</v>
      </c>
    </row>
    <row r="507" ht="28" customHeight="1">
      <c r="A507" s="10" t="str">
        <v>Reference keys</v>
      </c>
      <c r="B507" s="11" t="str">
        <v>MED:41513982</v>
      </c>
    </row>
    <row r="508" ht="26" customHeight="1">
      <c r="A508" s="2" t="str">
        <v>Primary literature / PubMed</v>
      </c>
      <c r="B508" s="13" t="str">
        <v>PMID 41513982</v>
      </c>
    </row>
    <row r="509" ht="28" customHeight="1">
      <c r="A509" s="2" t="str">
        <v>Author verification</v>
      </c>
      <c r="B509" s="13" t="str">
        <v>Return to RNU6-2 — enter human decisions in Review</v>
      </c>
    </row>
    <row r="510">
      <c r="A510" s="2"/>
      <c r="B510" s="2"/>
    </row>
    <row r="511" ht="30" customHeight="1">
      <c r="A511" s="8" t="str">
        <v>RNU6-8</v>
      </c>
      <c r="B511" s="8" t="str">
        <v>HGNC:34285</v>
      </c>
    </row>
    <row r="512" ht="28" customHeight="1">
      <c r="A512" s="10" t="str">
        <v>Novelty (AI screening)</v>
      </c>
      <c r="B512" s="11" t="str">
        <v>A</v>
      </c>
    </row>
    <row r="513" ht="28" customHeight="1">
      <c r="A513" s="10" t="str">
        <v>Earliest located public date</v>
      </c>
      <c r="B513" s="12" t="n">
        <v>45663</v>
      </c>
    </row>
    <row r="514" ht="28" customHeight="1">
      <c r="A514" s="10" t="str">
        <v>Public date interval</v>
      </c>
      <c r="B514" s="11" t="str">
        <v>2025-01-01; 2025-01-06</v>
      </c>
    </row>
    <row r="515" ht="28" customHeight="1">
      <c r="A515" s="10" t="str">
        <v>Phenotype domains</v>
      </c>
      <c r="B515" s="11" t="str">
        <v>retinal</v>
      </c>
    </row>
    <row r="516" ht="28" customHeight="1">
      <c r="A516" s="10" t="str">
        <v>Unrelated families (lower bound)</v>
      </c>
      <c r="B516" s="11" t="n">
        <v>4</v>
      </c>
    </row>
    <row r="517" ht="46" customHeight="1">
      <c r="A517" s="10" t="str">
        <v>Evidence summary (AI)</v>
      </c>
      <c r="B517" s="11" t="str">
        <v>Original cohortfour retinalfamilies per gene and shared RNA mutant-mechanism experiments; noncoding universe attrition.</v>
      </c>
    </row>
    <row r="518" ht="46" customHeight="1">
      <c r="A518" s="10" t="str">
        <v>Qualifying functional evidence</v>
      </c>
      <c r="B518" s="11" t="str">
        <v>Original cohortfour retinalfamilies per gene and shared RNA mutant-mechanism experiments; noncoding universe attrition.</v>
      </c>
    </row>
    <row r="519" ht="46" customHeight="1">
      <c r="A519" s="10" t="str">
        <v>Eligibility rationale (AI)</v>
      </c>
      <c r="B519" s="11" t="str">
        <v>Original cohortfour retinalfamilies per gene and shared RNA mutant-mechanism experiments; noncoding universe attrition.</v>
      </c>
    </row>
    <row r="520" ht="28" customHeight="1">
      <c r="A520" s="10" t="str">
        <v>Replication PMIDs</v>
      </c>
      <c r="B520" s="11" t="str"/>
    </row>
    <row r="521" ht="28" customHeight="1">
      <c r="A521" s="10" t="str">
        <v>Replication evidence (AI)</v>
      </c>
      <c r="B521" s="11" t="str">
        <v>Not recorded in source</v>
      </c>
    </row>
    <row r="522" ht="46" customHeight="1">
      <c r="A522" s="10" t="str">
        <v>Generic AI inheritance summary</v>
      </c>
      <c r="B522" s="11" t="str">
        <v>Reported segregating biallelic/dominant or confirmed de novo genotypes consistent with the target phenotype; source-specific details in cited primary studies.</v>
      </c>
    </row>
    <row r="523" ht="28" customHeight="1">
      <c r="A523" s="10" t="str">
        <v>Reference keys</v>
      </c>
      <c r="B523" s="11" t="str">
        <v>MED:41513982</v>
      </c>
    </row>
    <row r="524" ht="26" customHeight="1">
      <c r="A524" s="2" t="str">
        <v>Primary literature / PubMed</v>
      </c>
      <c r="B524" s="13" t="str">
        <v>PMID 41513982</v>
      </c>
    </row>
    <row r="525" ht="28" customHeight="1">
      <c r="A525" s="2" t="str">
        <v>Author verification</v>
      </c>
      <c r="B525" s="13" t="str">
        <v>Return to RNU6-8 — enter human decisions in Review</v>
      </c>
    </row>
    <row r="526">
      <c r="A526" s="2"/>
      <c r="B526" s="2"/>
    </row>
    <row r="527" ht="30" customHeight="1">
      <c r="A527" s="8" t="str">
        <v>RNU6-9</v>
      </c>
      <c r="B527" s="8" t="str">
        <v>HGNC:34269</v>
      </c>
    </row>
    <row r="528" ht="28" customHeight="1">
      <c r="A528" s="10" t="str">
        <v>Novelty (AI screening)</v>
      </c>
      <c r="B528" s="11" t="str">
        <v>A</v>
      </c>
    </row>
    <row r="529" ht="28" customHeight="1">
      <c r="A529" s="10" t="str">
        <v>Earliest located public date</v>
      </c>
      <c r="B529" s="12" t="n">
        <v>45663</v>
      </c>
    </row>
    <row r="530" ht="28" customHeight="1">
      <c r="A530" s="10" t="str">
        <v>Public date interval</v>
      </c>
      <c r="B530" s="11" t="str">
        <v>2025-01-01; 2025-01-06</v>
      </c>
    </row>
    <row r="531" ht="28" customHeight="1">
      <c r="A531" s="10" t="str">
        <v>Phenotype domains</v>
      </c>
      <c r="B531" s="11" t="str">
        <v>retinal</v>
      </c>
    </row>
    <row r="532" ht="28" customHeight="1">
      <c r="A532" s="10" t="str">
        <v>Unrelated families (lower bound)</v>
      </c>
      <c r="B532" s="11" t="n">
        <v>4</v>
      </c>
    </row>
    <row r="533" ht="46" customHeight="1">
      <c r="A533" s="10" t="str">
        <v>Evidence summary (AI)</v>
      </c>
      <c r="B533" s="11" t="str">
        <v>Original cohortfour retinalfamilies per gene and RNA mutant-mechanism experiments; noncoding universe attrition.</v>
      </c>
    </row>
    <row r="534" ht="46" customHeight="1">
      <c r="A534" s="10" t="str">
        <v>Qualifying functional evidence</v>
      </c>
      <c r="B534" s="11" t="str">
        <v>Original cohortfour retinalfamilies per gene and RNA mutant-mechanism experiments; noncoding universe attrition.</v>
      </c>
    </row>
    <row r="535" ht="46" customHeight="1">
      <c r="A535" s="10" t="str">
        <v>Eligibility rationale (AI)</v>
      </c>
      <c r="B535" s="11" t="str">
        <v>Original cohortfour retinalfamilies per gene and RNA mutant-mechanism experiments; noncoding universe attrition.</v>
      </c>
    </row>
    <row r="536" ht="28" customHeight="1">
      <c r="A536" s="10" t="str">
        <v>Replication PMIDs</v>
      </c>
      <c r="B536" s="11" t="str"/>
    </row>
    <row r="537" ht="28" customHeight="1">
      <c r="A537" s="10" t="str">
        <v>Replication evidence (AI)</v>
      </c>
      <c r="B537" s="11" t="str">
        <v>Not recorded in source</v>
      </c>
    </row>
    <row r="538" ht="46" customHeight="1">
      <c r="A538" s="10" t="str">
        <v>Generic AI inheritance summary</v>
      </c>
      <c r="B538" s="11" t="str">
        <v>Reported segregating biallelic/dominant or confirmed de novo genotypes consistent with the target phenotype; source-specific details in cited primary studies.</v>
      </c>
    </row>
    <row r="539" ht="28" customHeight="1">
      <c r="A539" s="10" t="str">
        <v>Reference keys</v>
      </c>
      <c r="B539" s="11" t="str">
        <v>MED:41513982</v>
      </c>
    </row>
    <row r="540" ht="26" customHeight="1">
      <c r="A540" s="2" t="str">
        <v>Primary literature / PubMed</v>
      </c>
      <c r="B540" s="13" t="str">
        <v>PMID 41513982</v>
      </c>
    </row>
    <row r="541" ht="28" customHeight="1">
      <c r="A541" s="2" t="str">
        <v>Author verification</v>
      </c>
      <c r="B541" s="13" t="str">
        <v>Return to RNU6-9 — enter human decisions in Review</v>
      </c>
    </row>
    <row r="542">
      <c r="A542" s="2"/>
      <c r="B542" s="2"/>
    </row>
    <row r="543" ht="30" customHeight="1">
      <c r="A543" s="8" t="str">
        <v>RSG1</v>
      </c>
      <c r="B543" s="8" t="str">
        <v>HGNC:28127</v>
      </c>
    </row>
    <row r="544" ht="28" customHeight="1">
      <c r="A544" s="10" t="str">
        <v>Novelty (AI screening)</v>
      </c>
      <c r="B544" s="11" t="str">
        <v>A</v>
      </c>
    </row>
    <row r="545" ht="28" customHeight="1">
      <c r="A545" s="10" t="str">
        <v>Earliest located public date</v>
      </c>
      <c r="B545" s="12" t="n">
        <v>45561</v>
      </c>
    </row>
    <row r="546" ht="28" customHeight="1">
      <c r="A546" s="10" t="str">
        <v>Public date interval</v>
      </c>
      <c r="B546" s="11" t="str">
        <v>2024-01-01; 2024-09-26</v>
      </c>
    </row>
    <row r="547" ht="28" customHeight="1">
      <c r="A547" s="10" t="str">
        <v>Phenotype domains</v>
      </c>
      <c r="B547" s="11" t="str">
        <v>primary_cilia</v>
      </c>
    </row>
    <row r="548" ht="28" customHeight="1">
      <c r="A548" s="10" t="str">
        <v>Unrelated families (lower bound)</v>
      </c>
      <c r="B548" s="11" t="n">
        <v>2</v>
      </c>
    </row>
    <row r="549" ht="46" customHeight="1">
      <c r="A549" s="10" t="str">
        <v>Evidence summary (AI)</v>
      </c>
      <c r="B549" s="11" t="str">
        <v>Three OFD families; variants disrupt basal-body docking/IFT recruitment and CPLANE/transition-zone architecture.</v>
      </c>
    </row>
    <row r="550" ht="46" customHeight="1">
      <c r="A550" s="10" t="str">
        <v>Qualifying functional evidence</v>
      </c>
      <c r="B550" s="11" t="str">
        <v>Three OFD families; variants disrupt basal-body docking/IFT recruitment and CPLANE/transition-zone architecture.</v>
      </c>
    </row>
    <row r="551" ht="46" customHeight="1">
      <c r="A551" s="10" t="str">
        <v>Eligibility rationale (AI)</v>
      </c>
      <c r="B551" s="11" t="str">
        <v>Three OFD families; variants disrupt basal-body docking/IFT recruitment and CPLANE/transition-zone architecture.</v>
      </c>
    </row>
    <row r="552" ht="28" customHeight="1">
      <c r="A552" s="10" t="str">
        <v>Replication PMIDs</v>
      </c>
      <c r="B552" s="11" t="str"/>
    </row>
    <row r="553" ht="28" customHeight="1">
      <c r="A553" s="10" t="str">
        <v>Replication evidence (AI)</v>
      </c>
      <c r="B553" s="11" t="str">
        <v>Not recorded in source</v>
      </c>
    </row>
    <row r="554" ht="46" customHeight="1">
      <c r="A554" s="10" t="str">
        <v>Generic AI inheritance summary</v>
      </c>
      <c r="B554" s="11" t="str">
        <v>Reported segregating biallelic/dominant or confirmed de novo genotypes consistent with the target phenotype; source-specific details in cited primary studies.</v>
      </c>
    </row>
    <row r="555" ht="28" customHeight="1">
      <c r="A555" s="10" t="str">
        <v>Reference keys</v>
      </c>
      <c r="B555" s="11" t="str">
        <v>MED:40593758</v>
      </c>
    </row>
    <row r="556" ht="26" customHeight="1">
      <c r="A556" s="2" t="str">
        <v>Primary literature / PubMed</v>
      </c>
      <c r="B556" s="13" t="str">
        <v>PMID 40593758</v>
      </c>
    </row>
    <row r="557" ht="28" customHeight="1">
      <c r="A557" s="2" t="str">
        <v>Author verification</v>
      </c>
      <c r="B557" s="13" t="str">
        <v>Return to RSG1 — enter human decisions in Review</v>
      </c>
    </row>
    <row r="558">
      <c r="A558" s="2"/>
      <c r="B558" s="2"/>
    </row>
    <row r="559" ht="30" customHeight="1">
      <c r="A559" s="8" t="str">
        <v>SAXO6</v>
      </c>
      <c r="B559" s="8" t="str">
        <v>HGNC:29917</v>
      </c>
    </row>
    <row r="560" ht="28" customHeight="1">
      <c r="A560" s="10" t="str">
        <v>Novelty (AI screening)</v>
      </c>
      <c r="B560" s="11" t="str">
        <v>A</v>
      </c>
    </row>
    <row r="561" ht="28" customHeight="1">
      <c r="A561" s="10" t="str">
        <v>Earliest located public date</v>
      </c>
      <c r="B561" s="12" t="n">
        <v>46077</v>
      </c>
    </row>
    <row r="562" ht="28" customHeight="1">
      <c r="A562" s="10" t="str">
        <v>Public date interval</v>
      </c>
      <c r="B562" s="11" t="str">
        <v>2026-01-01; 2026-02-24</v>
      </c>
    </row>
    <row r="563" ht="28" customHeight="1">
      <c r="A563" s="10" t="str">
        <v>Phenotype domains</v>
      </c>
      <c r="B563" s="11" t="str">
        <v>retinal</v>
      </c>
    </row>
    <row r="564" ht="28" customHeight="1">
      <c r="A564" s="10" t="str">
        <v>Unrelated families (lower bound)</v>
      </c>
      <c r="B564" s="11" t="n">
        <v>5</v>
      </c>
    </row>
    <row r="565" ht="64" customHeight="1">
      <c r="A565" s="10" t="str">
        <v>Evidence summary (AI)</v>
      </c>
      <c r="B565" s="11" t="str">
        <v>Clinical PMC13087473: six subjects/five families with six biallelic predicted-null variants. Earlier spontaneous Mdm1 nonsense and engineered knockout mice show retinal degeneration. Human healthy localization/protein interaction alone is not functional proof.</v>
      </c>
    </row>
    <row r="566" ht="64" customHeight="1">
      <c r="A566" s="10" t="str">
        <v>Qualifying functional evidence</v>
      </c>
      <c r="B566" s="11" t="str">
        <v>Clinical PMC13087473: six subjects/five families with six biallelic predicted-null variants. Earlier spontaneous Mdm1 nonsense and engineered knockout mice show retinal degeneration. Human healthy localization/protein interaction alone is not functional proof.</v>
      </c>
    </row>
    <row r="567" ht="64" customHeight="1">
      <c r="A567" s="10" t="str">
        <v>Eligibility rationale (AI)</v>
      </c>
      <c r="B567" s="11" t="str">
        <v>Clinical PMC13087473: six subjects/five families with six biallelic predicted-null variants. Earlier spontaneous Mdm1 nonsense and engineered knockout mice show retinal degeneration. Human healthy localization/protein interaction alone is not functional proof.</v>
      </c>
    </row>
    <row r="568" ht="28" customHeight="1">
      <c r="A568" s="10" t="str">
        <v>Replication PMIDs</v>
      </c>
      <c r="B568" s="11" t="str"/>
    </row>
    <row r="569" ht="28" customHeight="1">
      <c r="A569" s="10" t="str">
        <v>Replication evidence (AI)</v>
      </c>
      <c r="B569" s="11" t="str">
        <v>Not recorded in source</v>
      </c>
    </row>
    <row r="570" ht="46" customHeight="1">
      <c r="A570" s="10" t="str">
        <v>Generic AI inheritance summary</v>
      </c>
      <c r="B570" s="11" t="str">
        <v>Reported segregating biallelic/dominant or confirmed de novo genotypes consistent with the target phenotype; source-specific details in cited primary studies.</v>
      </c>
    </row>
    <row r="571" ht="28" customHeight="1">
      <c r="A571" s="10" t="str">
        <v>Reference keys</v>
      </c>
      <c r="B571" s="11" t="str">
        <v>MED:41742423; MED:18805803; MED:36171205</v>
      </c>
    </row>
    <row r="572" ht="26" customHeight="1">
      <c r="A572" s="2" t="str">
        <v>Primary literature / PubMed</v>
      </c>
      <c r="B572" s="13" t="str">
        <v>PMID 41742423</v>
      </c>
    </row>
    <row r="573" ht="28" customHeight="1">
      <c r="A573" s="2" t="str">
        <v>Author verification</v>
      </c>
      <c r="B573" s="13" t="str">
        <v>Return to SAXO6 — enter human decisions in Review</v>
      </c>
    </row>
    <row r="574">
      <c r="A574" s="2"/>
      <c r="B574" s="2"/>
    </row>
    <row r="575" ht="30" customHeight="1">
      <c r="A575" s="8" t="str">
        <v>SCNM1</v>
      </c>
      <c r="B575" s="8" t="str">
        <v>HGNC:23136</v>
      </c>
    </row>
    <row r="576" ht="28" customHeight="1">
      <c r="A576" s="10" t="str">
        <v>Novelty (AI screening)</v>
      </c>
      <c r="B576" s="11" t="str">
        <v>A</v>
      </c>
    </row>
    <row r="577" ht="28" customHeight="1">
      <c r="A577" s="10" t="str">
        <v>Earliest located public date</v>
      </c>
      <c r="B577" s="12" t="n">
        <v>44812</v>
      </c>
    </row>
    <row r="578" ht="28" customHeight="1">
      <c r="A578" s="10" t="str">
        <v>Public date interval</v>
      </c>
      <c r="B578" s="11" t="str">
        <v>2022-01-01; 2022-09-08</v>
      </c>
    </row>
    <row r="579" ht="28" customHeight="1">
      <c r="A579" s="10" t="str">
        <v>Phenotype domains</v>
      </c>
      <c r="B579" s="11" t="str">
        <v>primary_cilia</v>
      </c>
    </row>
    <row r="580" ht="28" customHeight="1">
      <c r="A580" s="10" t="str">
        <v>Unrelated families (lower bound)</v>
      </c>
      <c r="B580" s="11" t="n">
        <v>2</v>
      </c>
    </row>
    <row r="581" ht="46" customHeight="1">
      <c r="A581" s="10" t="str">
        <v>Evidence summary (AI)</v>
      </c>
      <c r="B581" s="11" t="str">
        <v>Three OFD families initially, four additional families later; minor intron splicing and cilia defects with rescue.</v>
      </c>
    </row>
    <row r="582" ht="46" customHeight="1">
      <c r="A582" s="10" t="str">
        <v>Qualifying functional evidence</v>
      </c>
      <c r="B582" s="11" t="str">
        <v>Three OFD families initially, four additional families later; minor intron splicing and cilia defects with rescue.</v>
      </c>
    </row>
    <row r="583" ht="46" customHeight="1">
      <c r="A583" s="10" t="str">
        <v>Eligibility rationale (AI)</v>
      </c>
      <c r="B583" s="11" t="str">
        <v>Three OFD families initially, four additional families later; minor intron splicing and cilia defects with rescue.</v>
      </c>
    </row>
    <row r="584" ht="28" customHeight="1">
      <c r="A584" s="10" t="str">
        <v>Replication PMIDs</v>
      </c>
      <c r="B584" s="11" t="str"/>
    </row>
    <row r="585" ht="28" customHeight="1">
      <c r="A585" s="10" t="str">
        <v>Replication evidence (AI)</v>
      </c>
      <c r="B585" s="11" t="str">
        <v>Not recorded in source</v>
      </c>
    </row>
    <row r="586" ht="46" customHeight="1">
      <c r="A586" s="10" t="str">
        <v>Generic AI inheritance summary</v>
      </c>
      <c r="B586" s="11" t="str">
        <v>Reported segregating biallelic/dominant or confirmed de novo genotypes consistent with the target phenotype; source-specific details in cited primary studies.</v>
      </c>
    </row>
    <row r="587" ht="28" customHeight="1">
      <c r="A587" s="10" t="str">
        <v>Reference keys</v>
      </c>
      <c r="B587" s="11" t="str">
        <v>MED:36084634; MED:41291844</v>
      </c>
    </row>
    <row r="588" ht="26" customHeight="1">
      <c r="A588" s="2" t="str">
        <v>Primary literature / PubMed</v>
      </c>
      <c r="B588" s="13" t="str">
        <v>PMID 36084634</v>
      </c>
    </row>
    <row r="589" ht="26" customHeight="1">
      <c r="A589" s="2" t="str">
        <v>Primary literature / PubMed</v>
      </c>
      <c r="B589" s="13" t="str">
        <v>PMID 41291844</v>
      </c>
    </row>
    <row r="590" ht="28" customHeight="1">
      <c r="A590" s="2" t="str">
        <v>Author verification</v>
      </c>
      <c r="B590" s="13" t="str">
        <v>Return to SCNM1 — enter human decisions in Review</v>
      </c>
    </row>
    <row r="591">
      <c r="A591" s="2"/>
      <c r="B591" s="2"/>
    </row>
    <row r="592" ht="30" customHeight="1">
      <c r="A592" s="8" t="str">
        <v>SLC66A1</v>
      </c>
      <c r="B592" s="8" t="str">
        <v>HGNC:26001</v>
      </c>
    </row>
    <row r="593" ht="28" customHeight="1">
      <c r="A593" s="10" t="str">
        <v>Novelty (AI screening)</v>
      </c>
      <c r="B593" s="11" t="str">
        <v>A</v>
      </c>
    </row>
    <row r="594" ht="28" customHeight="1">
      <c r="A594" s="10" t="str">
        <v>Earliest located public date</v>
      </c>
      <c r="B594" s="12" t="n">
        <v>44680</v>
      </c>
    </row>
    <row r="595" ht="28" customHeight="1">
      <c r="A595" s="10" t="str">
        <v>Public date interval</v>
      </c>
      <c r="B595" s="11" t="str">
        <v>2022-01-01; 2022-04-29</v>
      </c>
    </row>
    <row r="596" ht="28" customHeight="1">
      <c r="A596" s="10" t="str">
        <v>Phenotype domains</v>
      </c>
      <c r="B596" s="11" t="str">
        <v>retinal</v>
      </c>
    </row>
    <row r="597" ht="28" customHeight="1">
      <c r="A597" s="10" t="str">
        <v>Unrelated families (lower bound)</v>
      </c>
      <c r="B597" s="11" t="n">
        <v>5</v>
      </c>
    </row>
    <row r="598" ht="82" customHeight="1">
      <c r="A598" s="10" t="str">
        <v>Evidence summary (AI)</v>
      </c>
      <c r="B598" s="11" t="str">
        <v>2022 two retinal families; independent 2024 report DOI10.1016/j.gimo.2024.101834 online2024-02-29 adds four families, three without the alternative homozygous SPATA7 diagnosis. Supporting 2026 Portuguese family not required. Multigene replication abstract omits symbol and was missed by gene-title/abstract search; catalog/fulltext review is essential.</v>
      </c>
    </row>
    <row r="599" ht="82" customHeight="1">
      <c r="A599" s="10" t="str">
        <v>Qualifying functional evidence</v>
      </c>
      <c r="B599" s="11" t="str">
        <v>2022 two retinal families; independent 2024 report DOI10.1016/j.gimo.2024.101834 online2024-02-29 adds four families, three without the alternative homozygous SPATA7 diagnosis. Supporting 2026 Portuguese family not required. Multigene replication abstract omits symbol and was missed by gene-title/abstract search; catalog/fulltext review is essential.</v>
      </c>
    </row>
    <row r="600" ht="82" customHeight="1">
      <c r="A600" s="10" t="str">
        <v>Eligibility rationale (AI)</v>
      </c>
      <c r="B600" s="11" t="str">
        <v>2022 two retinal families; independent 2024 report DOI10.1016/j.gimo.2024.101834 online2024-02-29 adds four families, three without the alternative homozygous SPATA7 diagnosis. Supporting 2026 Portuguese family not required. Multigene replication abstract omits symbol and was missed by gene-title/abstract search; catalog/fulltext review is essential.</v>
      </c>
    </row>
    <row r="601" ht="28" customHeight="1">
      <c r="A601" s="10" t="str">
        <v>Replication PMIDs</v>
      </c>
      <c r="B601" s="11" t="str"/>
    </row>
    <row r="602" ht="28" customHeight="1">
      <c r="A602" s="10" t="str">
        <v>Replication evidence (AI)</v>
      </c>
      <c r="B602" s="11" t="str">
        <v>Not recorded in source</v>
      </c>
    </row>
    <row r="603" ht="46" customHeight="1">
      <c r="A603" s="10" t="str">
        <v>Generic AI inheritance summary</v>
      </c>
      <c r="B603" s="11" t="str">
        <v>Reported segregating biallelic/dominant or confirmed de novo genotypes consistent with the target phenotype; source-specific details in cited primary studies.</v>
      </c>
    </row>
    <row r="604" ht="28" customHeight="1">
      <c r="A604" s="10" t="str">
        <v>Reference keys</v>
      </c>
      <c r="B604" s="11" t="str">
        <v>MED:35486108; MED:39669628</v>
      </c>
    </row>
    <row r="605" ht="26" customHeight="1">
      <c r="A605" s="2" t="str">
        <v>Primary literature / PubMed</v>
      </c>
      <c r="B605" s="13" t="str">
        <v>PMID 35486108</v>
      </c>
    </row>
    <row r="606" ht="26" customHeight="1">
      <c r="A606" s="2" t="str">
        <v>Primary literature / PubMed</v>
      </c>
      <c r="B606" s="13" t="str">
        <v>PMID 39669628</v>
      </c>
    </row>
    <row r="607" ht="28" customHeight="1">
      <c r="A607" s="2" t="str">
        <v>Author verification</v>
      </c>
      <c r="B607" s="13" t="str">
        <v>Return to SLC66A1 — enter human decisions in Review</v>
      </c>
    </row>
    <row r="608">
      <c r="A608" s="2"/>
      <c r="B608" s="2"/>
    </row>
    <row r="609" ht="30" customHeight="1">
      <c r="A609" s="8" t="str">
        <v>SPATA5L1</v>
      </c>
      <c r="B609" s="8" t="str">
        <v>HGNC:28762</v>
      </c>
    </row>
    <row r="610" ht="28" customHeight="1">
      <c r="A610" s="10" t="str">
        <v>Novelty (AI screening)</v>
      </c>
      <c r="B610" s="11" t="str">
        <v>A</v>
      </c>
    </row>
    <row r="611" ht="28" customHeight="1">
      <c r="A611" s="10" t="str">
        <v>Earliest located public date</v>
      </c>
      <c r="B611" s="12" t="n">
        <v>44476</v>
      </c>
    </row>
    <row r="612" ht="28" customHeight="1">
      <c r="A612" s="10" t="str">
        <v>Public date interval</v>
      </c>
      <c r="B612" s="11" t="str">
        <v>2021-01-01; 2021-10-07</v>
      </c>
    </row>
    <row r="613" ht="28" customHeight="1">
      <c r="A613" s="10" t="str">
        <v>Phenotype domains</v>
      </c>
      <c r="B613" s="11" t="str">
        <v>hearing</v>
      </c>
    </row>
    <row r="614" ht="28" customHeight="1">
      <c r="A614" s="10" t="str">
        <v>Unrelated families (lower bound)</v>
      </c>
      <c r="B614" s="11" t="n">
        <v>2</v>
      </c>
    </row>
    <row r="615" ht="28" customHeight="1">
      <c r="A615" s="10" t="str">
        <v>Evidence summary (AI)</v>
      </c>
      <c r="B615" s="11" t="str">
        <v>47 individuals in 26 unrelated families; hearing/neurodevelopmental phenotype.</v>
      </c>
    </row>
    <row r="616" ht="28" customHeight="1">
      <c r="A616" s="10" t="str">
        <v>Qualifying functional evidence</v>
      </c>
      <c r="B616" s="11" t="str">
        <v>Not recorded in source</v>
      </c>
    </row>
    <row r="617" ht="28" customHeight="1">
      <c r="A617" s="10" t="str">
        <v>Eligibility rationale (AI)</v>
      </c>
      <c r="B617" s="11" t="str">
        <v>47 individuals in 26 unrelated families; hearing/neurodevelopmental phenotype.</v>
      </c>
    </row>
    <row r="618" ht="28" customHeight="1">
      <c r="A618" s="10" t="str">
        <v>Replication PMIDs</v>
      </c>
      <c r="B618" s="11" t="str">
        <v>37902276</v>
      </c>
    </row>
    <row r="619" ht="46" customHeight="1">
      <c r="A619" s="10" t="str">
        <v>Replication evidence (AI)</v>
      </c>
      <c r="B619" s="11" t="str">
        <v>New girl with sensorineural hearing loss, compound heterozygous AFG2B variants in 2023 report; not the preprint family solely counted twice.</v>
      </c>
    </row>
    <row r="620" ht="46" customHeight="1">
      <c r="A620" s="10" t="str">
        <v>Generic AI inheritance summary</v>
      </c>
      <c r="B620" s="11" t="str">
        <v>Reported segregating biallelic/dominant or confirmed de novo genotypes consistent with the target phenotype; source-specific details in cited primary studies.</v>
      </c>
    </row>
    <row r="621" ht="28" customHeight="1">
      <c r="A621" s="10" t="str">
        <v>Reference keys</v>
      </c>
      <c r="B621" s="11" t="str">
        <v>MED:34626583; MED:37902276</v>
      </c>
    </row>
    <row r="622" ht="26" customHeight="1">
      <c r="A622" s="2" t="str">
        <v>Primary literature / PubMed</v>
      </c>
      <c r="B622" s="13" t="str">
        <v>PMID 34626583</v>
      </c>
    </row>
    <row r="623" ht="26" customHeight="1">
      <c r="A623" s="2" t="str">
        <v>Primary literature / PubMed</v>
      </c>
      <c r="B623" s="13" t="str">
        <v>PMID 37902276</v>
      </c>
    </row>
    <row r="624" ht="28" customHeight="1">
      <c r="A624" s="2" t="str">
        <v>Author verification</v>
      </c>
      <c r="B624" s="13" t="str">
        <v>Return to SPATA5L1 — enter human decisions in Review</v>
      </c>
    </row>
    <row r="625">
      <c r="A625" s="2"/>
      <c r="B625" s="2"/>
    </row>
    <row r="626" ht="30" customHeight="1">
      <c r="A626" s="8" t="str">
        <v>STX3</v>
      </c>
      <c r="B626" s="8" t="str">
        <v>HGNC:11438</v>
      </c>
    </row>
    <row r="627" ht="28" customHeight="1">
      <c r="A627" s="10" t="str">
        <v>Novelty (AI screening)</v>
      </c>
      <c r="B627" s="11" t="str">
        <v>B</v>
      </c>
    </row>
    <row r="628" ht="28" customHeight="1">
      <c r="A628" s="10" t="str">
        <v>Earliest located public date</v>
      </c>
      <c r="B628" s="12" t="n">
        <v>44327</v>
      </c>
    </row>
    <row r="629" ht="28" customHeight="1">
      <c r="A629" s="10" t="str">
        <v>Public date interval</v>
      </c>
      <c r="B629" s="11" t="str">
        <v>2021-01-01; 2021-05-11</v>
      </c>
    </row>
    <row r="630" ht="28" customHeight="1">
      <c r="A630" s="10" t="str">
        <v>Phenotype domains</v>
      </c>
      <c r="B630" s="11" t="str">
        <v>retinal</v>
      </c>
    </row>
    <row r="631" ht="28" customHeight="1">
      <c r="A631" s="10" t="str">
        <v>Unrelated families (lower bound)</v>
      </c>
      <c r="B631" s="11" t="n">
        <v>6</v>
      </c>
    </row>
    <row r="632" ht="46" customHeight="1">
      <c r="A632" s="10" t="str">
        <v>Evidence summary (AI)</v>
      </c>
      <c r="B632" s="11" t="str">
        <v>Prior microvillus inclusion disease and proposed congenital cataract association; 2021 retinal dystrophy cohort and photoreceptor-specific knockout.</v>
      </c>
    </row>
    <row r="633" ht="46" customHeight="1">
      <c r="A633" s="10" t="str">
        <v>Qualifying functional evidence</v>
      </c>
      <c r="B633" s="11" t="str">
        <v>Prior microvillus inclusion disease and proposed congenital cataract association; 2021 retinal dystrophy cohort and photoreceptor-specific knockout.</v>
      </c>
    </row>
    <row r="634" ht="46" customHeight="1">
      <c r="A634" s="10" t="str">
        <v>Eligibility rationale (AI)</v>
      </c>
      <c r="B634" s="11" t="str">
        <v>Prior microvillus inclusion disease and proposed congenital cataract association; 2021 retinal dystrophy cohort and photoreceptor-specific knockout.</v>
      </c>
    </row>
    <row r="635" ht="28" customHeight="1">
      <c r="A635" s="10" t="str">
        <v>Replication PMIDs</v>
      </c>
      <c r="B635" s="11" t="str"/>
    </row>
    <row r="636" ht="28" customHeight="1">
      <c r="A636" s="10" t="str">
        <v>Replication evidence (AI)</v>
      </c>
      <c r="B636" s="11" t="str">
        <v>Not recorded in source</v>
      </c>
    </row>
    <row r="637" ht="46" customHeight="1">
      <c r="A637" s="10" t="str">
        <v>Generic AI inheritance summary</v>
      </c>
      <c r="B637" s="11" t="str">
        <v>Reported segregating biallelic/dominant or confirmed de novo genotypes consistent with the target phenotype; source-specific details in cited primary studies.</v>
      </c>
    </row>
    <row r="638" ht="28" customHeight="1">
      <c r="A638" s="10" t="str">
        <v>Reference keys</v>
      </c>
      <c r="B638" s="11" t="str">
        <v>MED:33974130</v>
      </c>
    </row>
    <row r="639" ht="26" customHeight="1">
      <c r="A639" s="2" t="str">
        <v>Primary literature / PubMed</v>
      </c>
      <c r="B639" s="13" t="str">
        <v>PMID 33974130</v>
      </c>
    </row>
    <row r="640" ht="28" customHeight="1">
      <c r="A640" s="2" t="str">
        <v>Author verification</v>
      </c>
      <c r="B640" s="13" t="str">
        <v>Return to STX3 — enter human decisions in Review</v>
      </c>
    </row>
    <row r="641">
      <c r="A641" s="2"/>
      <c r="B641" s="2"/>
    </row>
    <row r="642" ht="30" customHeight="1">
      <c r="A642" s="8" t="str">
        <v>TMEM72</v>
      </c>
      <c r="B642" s="8" t="str">
        <v>HGNC:31658</v>
      </c>
    </row>
    <row r="643" ht="28" customHeight="1">
      <c r="A643" s="10" t="str">
        <v>Novelty (AI screening)</v>
      </c>
      <c r="B643" s="11" t="str">
        <v>A</v>
      </c>
    </row>
    <row r="644" ht="28" customHeight="1">
      <c r="A644" s="10" t="str">
        <v>Earliest located public date</v>
      </c>
      <c r="B644" s="12" t="n">
        <v>44439</v>
      </c>
    </row>
    <row r="645" ht="28" customHeight="1">
      <c r="A645" s="10" t="str">
        <v>Public date interval</v>
      </c>
      <c r="B645" s="11" t="str">
        <v>2021-01-01; 2022-04-30</v>
      </c>
    </row>
    <row r="646" ht="28" customHeight="1">
      <c r="A646" s="10" t="str">
        <v>Phenotype domains</v>
      </c>
      <c r="B646" s="11" t="str">
        <v>primary_cilia</v>
      </c>
    </row>
    <row r="647" ht="28" customHeight="1">
      <c r="A647" s="10" t="str">
        <v>Unrelated families (lower bound)</v>
      </c>
      <c r="B647" s="11" t="n">
        <v>5</v>
      </c>
    </row>
    <row r="648" ht="82" customHeight="1">
      <c r="A648" s="10" t="str">
        <v>Evidence summary (AI)</v>
      </c>
      <c r="B648" s="11" t="str">
        <v>Five coreNPHP-likefamilies, sixthprenatalrenal/neurodifferent. PatientkidneyIF showsabnormallocalization/reducedprotein comparedhealthy,CKD andheterozygousparent controls, qualifies patient-cell moleculardefectcriterion. Healthycilialocalization alone notproof; zfishKO no renalphenotype; no ciliaryrescueclaim.</v>
      </c>
    </row>
    <row r="649" ht="82" customHeight="1">
      <c r="A649" s="10" t="str">
        <v>Qualifying functional evidence</v>
      </c>
      <c r="B649" s="11" t="str">
        <v>Five coreNPHP-likefamilies, sixthprenatalrenal/neurodifferent. PatientkidneyIF showsabnormallocalization/reducedprotein comparedhealthy,CKD andheterozygousparent controls, qualifies patient-cell moleculardefectcriterion. Healthycilialocalization alone notproof; zfishKO no renalphenotype; no ciliaryrescueclaim.</v>
      </c>
    </row>
    <row r="650" ht="82" customHeight="1">
      <c r="A650" s="10" t="str">
        <v>Eligibility rationale (AI)</v>
      </c>
      <c r="B650" s="11" t="str">
        <v>Five coreNPHP-likefamilies, sixthprenatalrenal/neurodifferent. PatientkidneyIF showsabnormallocalization/reducedprotein comparedhealthy,CKD andheterozygousparent controls, qualifies patient-cell moleculardefectcriterion. Healthycilialocalization alone notproof; zfishKO no renalphenotype; no ciliaryrescueclaim.</v>
      </c>
    </row>
    <row r="651" ht="28" customHeight="1">
      <c r="A651" s="10" t="str">
        <v>Replication PMIDs</v>
      </c>
      <c r="B651" s="11" t="str"/>
    </row>
    <row r="652" ht="28" customHeight="1">
      <c r="A652" s="10" t="str">
        <v>Replication evidence (AI)</v>
      </c>
      <c r="B652" s="11" t="str">
        <v>Not recorded in source</v>
      </c>
    </row>
    <row r="653" ht="46" customHeight="1">
      <c r="A653" s="10" t="str">
        <v>Generic AI inheritance summary</v>
      </c>
      <c r="B653" s="11" t="str">
        <v>Reported segregating biallelic/dominant or confirmed de novo genotypes consistent with the target phenotype; source-specific details in cited primary studies.</v>
      </c>
    </row>
    <row r="654" ht="28" customHeight="1">
      <c r="A654" s="10" t="str">
        <v>Reference keys</v>
      </c>
      <c r="B654" s="11" t="str">
        <v>MED:41308066</v>
      </c>
    </row>
    <row r="655" ht="26" customHeight="1">
      <c r="A655" s="2" t="str">
        <v>Primary literature / PubMed</v>
      </c>
      <c r="B655" s="13" t="str">
        <v>PMID 41308066</v>
      </c>
    </row>
    <row r="656" ht="28" customHeight="1">
      <c r="A656" s="2" t="str">
        <v>Author verification</v>
      </c>
      <c r="B656" s="13" t="str">
        <v>Return to TMEM72 — enter human decisions in Review</v>
      </c>
    </row>
    <row r="657">
      <c r="A657" s="2"/>
      <c r="B657" s="2"/>
    </row>
    <row r="658" ht="30" customHeight="1">
      <c r="A658" s="8" t="str">
        <v>TP73</v>
      </c>
      <c r="B658" s="8" t="str">
        <v>HGNC:12003</v>
      </c>
    </row>
    <row r="659" ht="28" customHeight="1">
      <c r="A659" s="10" t="str">
        <v>Novelty (AI screening)</v>
      </c>
      <c r="B659" s="11" t="str">
        <v>A</v>
      </c>
    </row>
    <row r="660" ht="28" customHeight="1">
      <c r="A660" s="10" t="str">
        <v>Earliest located public date</v>
      </c>
      <c r="B660" s="12" t="n">
        <v>44348</v>
      </c>
    </row>
    <row r="661" ht="28" customHeight="1">
      <c r="A661" s="10" t="str">
        <v>Public date interval</v>
      </c>
      <c r="B661" s="11" t="str">
        <v>2021-01-01; 2021-06-01</v>
      </c>
    </row>
    <row r="662" ht="28" customHeight="1">
      <c r="A662" s="10" t="str">
        <v>Phenotype domains</v>
      </c>
      <c r="B662" s="11" t="str">
        <v>motile_cilia</v>
      </c>
    </row>
    <row r="663" ht="28" customHeight="1">
      <c r="A663" s="10" t="str">
        <v>Unrelated families (lower bound)</v>
      </c>
      <c r="B663" s="11" t="n">
        <v>2</v>
      </c>
    </row>
    <row r="664" ht="46" customHeight="1">
      <c r="A664" s="10" t="str">
        <v>Evidence summary (AI)</v>
      </c>
      <c r="B664" s="11" t="str">
        <v>Seven affected individuals in five unrelated families; patient airway multiciliogenesis/ultrastructure assays. Older cancer/risk reports are not germline Mendelian disease claims.</v>
      </c>
    </row>
    <row r="665" ht="46" customHeight="1">
      <c r="A665" s="10" t="str">
        <v>Qualifying functional evidence</v>
      </c>
      <c r="B665" s="11" t="str">
        <v>Seven affected individuals in five unrelated families; patient airway multiciliogenesis/ultrastructure assays. Older cancer/risk reports are not germline Mendelian disease claims.</v>
      </c>
    </row>
    <row r="666" ht="46" customHeight="1">
      <c r="A666" s="10" t="str">
        <v>Eligibility rationale (AI)</v>
      </c>
      <c r="B666" s="11" t="str">
        <v>Seven affected individuals in five unrelated families; patient airway multiciliogenesis/ultrastructure assays. Older cancer/risk reports are not germline Mendelian disease claims.</v>
      </c>
    </row>
    <row r="667" ht="28" customHeight="1">
      <c r="A667" s="10" t="str">
        <v>Replication PMIDs</v>
      </c>
      <c r="B667" s="11" t="str"/>
    </row>
    <row r="668" ht="28" customHeight="1">
      <c r="A668" s="10" t="str">
        <v>Replication evidence (AI)</v>
      </c>
      <c r="B668" s="11" t="str">
        <v>Not recorded in source</v>
      </c>
    </row>
    <row r="669" ht="46" customHeight="1">
      <c r="A669" s="10" t="str">
        <v>Generic AI inheritance summary</v>
      </c>
      <c r="B669" s="11" t="str">
        <v>Reported segregating biallelic/dominant or confirmed de novo genotypes consistent with the target phenotype; source-specific details in cited primary studies.</v>
      </c>
    </row>
    <row r="670" ht="28" customHeight="1">
      <c r="A670" s="10" t="str">
        <v>Reference keys</v>
      </c>
      <c r="B670" s="11" t="str">
        <v>MED:34077761</v>
      </c>
    </row>
    <row r="671" ht="26" customHeight="1">
      <c r="A671" s="2" t="str">
        <v>Primary literature / PubMed</v>
      </c>
      <c r="B671" s="13" t="str">
        <v>PMID 34077761</v>
      </c>
    </row>
    <row r="672" ht="28" customHeight="1">
      <c r="A672" s="2" t="str">
        <v>Author verification</v>
      </c>
      <c r="B672" s="13" t="str">
        <v>Return to TP73 — enter human decisions in Review</v>
      </c>
    </row>
    <row r="673">
      <c r="A673" s="2"/>
      <c r="B673" s="2"/>
    </row>
    <row r="674" ht="30" customHeight="1">
      <c r="A674" s="8" t="str">
        <v>UBAP1L</v>
      </c>
      <c r="B674" s="8" t="str">
        <v>HGNC:40028</v>
      </c>
    </row>
    <row r="675" ht="28" customHeight="1">
      <c r="A675" s="10" t="str">
        <v>Novelty (AI screening)</v>
      </c>
      <c r="B675" s="11" t="str">
        <v>A</v>
      </c>
    </row>
    <row r="676" ht="28" customHeight="1">
      <c r="A676" s="10" t="str">
        <v>Earliest located public date</v>
      </c>
      <c r="B676" s="12" t="n">
        <v>45319</v>
      </c>
    </row>
    <row r="677" ht="28" customHeight="1">
      <c r="A677" s="10" t="str">
        <v>Public date interval</v>
      </c>
      <c r="B677" s="11" t="str">
        <v>2024-01-01; 2024-01-28</v>
      </c>
    </row>
    <row r="678" ht="28" customHeight="1">
      <c r="A678" s="10" t="str">
        <v>Phenotype domains</v>
      </c>
      <c r="B678" s="11" t="str">
        <v>retinal</v>
      </c>
    </row>
    <row r="679" ht="28" customHeight="1">
      <c r="A679" s="10" t="str">
        <v>Unrelated families (lower bound)</v>
      </c>
      <c r="B679" s="11" t="n">
        <v>2</v>
      </c>
    </row>
    <row r="680" ht="46" customHeight="1">
      <c r="A680" s="10" t="str">
        <v>Evidence summary (AI)</v>
      </c>
      <c r="B680" s="11" t="str">
        <v>Four independent recessive retinal cases; retinal organoid/in vitro evidence for truncated ubiquitin-binding domain.</v>
      </c>
    </row>
    <row r="681" ht="46" customHeight="1">
      <c r="A681" s="10" t="str">
        <v>Qualifying functional evidence</v>
      </c>
      <c r="B681" s="11" t="str">
        <v>Four independent recessive retinal cases; retinal organoid/in vitro evidence for truncated ubiquitin-binding domain.</v>
      </c>
    </row>
    <row r="682" ht="46" customHeight="1">
      <c r="A682" s="10" t="str">
        <v>Eligibility rationale (AI)</v>
      </c>
      <c r="B682" s="11" t="str">
        <v>Four independent recessive retinal cases; retinal organoid/in vitro evidence for truncated ubiquitin-binding domain.</v>
      </c>
    </row>
    <row r="683" ht="28" customHeight="1">
      <c r="A683" s="10" t="str">
        <v>Replication PMIDs</v>
      </c>
      <c r="B683" s="11" t="str"/>
    </row>
    <row r="684" ht="28" customHeight="1">
      <c r="A684" s="10" t="str">
        <v>Replication evidence (AI)</v>
      </c>
      <c r="B684" s="11" t="str">
        <v>Not recorded in source</v>
      </c>
    </row>
    <row r="685" ht="46" customHeight="1">
      <c r="A685" s="10" t="str">
        <v>Generic AI inheritance summary</v>
      </c>
      <c r="B685" s="11" t="str">
        <v>Reported segregating biallelic/dominant or confirmed de novo genotypes consistent with the target phenotype; source-specific details in cited primary studies.</v>
      </c>
    </row>
    <row r="686" ht="28" customHeight="1">
      <c r="A686" s="10" t="str">
        <v>Reference keys</v>
      </c>
      <c r="B686" s="11" t="str">
        <v>MED:38293907</v>
      </c>
    </row>
    <row r="687" ht="26" customHeight="1">
      <c r="A687" s="2" t="str">
        <v>Primary literature / PubMed</v>
      </c>
      <c r="B687" s="13" t="str">
        <v>PMID 38293907</v>
      </c>
    </row>
    <row r="688" ht="28" customHeight="1">
      <c r="A688" s="2" t="str">
        <v>Author verification</v>
      </c>
      <c r="B688" s="13" t="str">
        <v>Return to UBAP1L — enter human decisions in Review</v>
      </c>
    </row>
    <row r="689">
      <c r="A689" s="2"/>
      <c r="B689" s="2"/>
    </row>
    <row r="690" ht="30" customHeight="1">
      <c r="A690" s="8" t="str">
        <v>USP48</v>
      </c>
      <c r="B690" s="8" t="str">
        <v>HGNC:18533</v>
      </c>
    </row>
    <row r="691" ht="28" customHeight="1">
      <c r="A691" s="10" t="str">
        <v>Novelty (AI screening)</v>
      </c>
      <c r="B691" s="11" t="str">
        <v>A</v>
      </c>
    </row>
    <row r="692" ht="28" customHeight="1">
      <c r="A692" s="10" t="str">
        <v>Earliest located public date</v>
      </c>
      <c r="B692" s="12" t="n">
        <v>44347</v>
      </c>
    </row>
    <row r="693" ht="28" customHeight="1">
      <c r="A693" s="10" t="str">
        <v>Public date interval</v>
      </c>
      <c r="B693" s="11" t="str">
        <v>2021-01-01; 2021-05-31</v>
      </c>
    </row>
    <row r="694" ht="28" customHeight="1">
      <c r="A694" s="10" t="str">
        <v>Phenotype domains</v>
      </c>
      <c r="B694" s="11" t="str">
        <v>hearing</v>
      </c>
    </row>
    <row r="695" ht="28" customHeight="1">
      <c r="A695" s="10" t="str">
        <v>Unrelated families (lower bound)</v>
      </c>
      <c r="B695" s="11" t="n">
        <v>2</v>
      </c>
    </row>
    <row r="696" ht="28" customHeight="1">
      <c r="A696" s="10" t="str">
        <v>Evidence summary (AI)</v>
      </c>
      <c r="B696" s="11" t="str">
        <v>Large family plus unrelated inherited and de novo cases; ubiquitin hydrolase activity assays.</v>
      </c>
    </row>
    <row r="697" ht="28" customHeight="1">
      <c r="A697" s="10" t="str">
        <v>Qualifying functional evidence</v>
      </c>
      <c r="B697" s="11" t="str">
        <v>Large family plus unrelated inherited and de novo cases; ubiquitin hydrolase activity assays.</v>
      </c>
    </row>
    <row r="698" ht="28" customHeight="1">
      <c r="A698" s="10" t="str">
        <v>Eligibility rationale (AI)</v>
      </c>
      <c r="B698" s="11" t="str">
        <v>Large family plus unrelated inherited and de novo cases; ubiquitin hydrolase activity assays.</v>
      </c>
    </row>
    <row r="699" ht="28" customHeight="1">
      <c r="A699" s="10" t="str">
        <v>Replication PMIDs</v>
      </c>
      <c r="B699" s="11" t="str"/>
    </row>
    <row r="700" ht="28" customHeight="1">
      <c r="A700" s="10" t="str">
        <v>Replication evidence (AI)</v>
      </c>
      <c r="B700" s="11" t="str">
        <v>Not recorded in source</v>
      </c>
    </row>
    <row r="701" ht="46" customHeight="1">
      <c r="A701" s="10" t="str">
        <v>Generic AI inheritance summary</v>
      </c>
      <c r="B701" s="11" t="str">
        <v>Reported segregating biallelic/dominant or confirmed de novo genotypes consistent with the target phenotype; source-specific details in cited primary studies.</v>
      </c>
    </row>
    <row r="702" ht="28" customHeight="1">
      <c r="A702" s="10" t="str">
        <v>Reference keys</v>
      </c>
      <c r="B702" s="11" t="str">
        <v>MED:34059922</v>
      </c>
    </row>
    <row r="703" ht="26" customHeight="1">
      <c r="A703" s="2" t="str">
        <v>Primary literature / PubMed</v>
      </c>
      <c r="B703" s="13" t="str">
        <v>PMID 34059922</v>
      </c>
    </row>
    <row r="704" ht="28" customHeight="1">
      <c r="A704" s="2" t="str">
        <v>Author verification</v>
      </c>
      <c r="B704" s="13" t="str">
        <v>Return to USP48 — enter human decisions in Review</v>
      </c>
    </row>
    <row r="705">
      <c r="A705" s="2"/>
      <c r="B705" s="2"/>
    </row>
    <row r="706" ht="30" customHeight="1">
      <c r="A706" s="8" t="str">
        <v>VWA8</v>
      </c>
      <c r="B706" s="8" t="str">
        <v>HGNC:29071</v>
      </c>
    </row>
    <row r="707" ht="28" customHeight="1">
      <c r="A707" s="10" t="str">
        <v>Novelty (AI screening)</v>
      </c>
      <c r="B707" s="11" t="str">
        <v>B</v>
      </c>
    </row>
    <row r="708" ht="28" customHeight="1">
      <c r="A708" s="10" t="str">
        <v>Earliest located public date</v>
      </c>
      <c r="B708" s="12" t="n">
        <v>45019</v>
      </c>
    </row>
    <row r="709" ht="28" customHeight="1">
      <c r="A709" s="10" t="str">
        <v>Public date interval</v>
      </c>
      <c r="B709" s="11" t="str">
        <v>2023-01-01; 2023-04-03</v>
      </c>
    </row>
    <row r="710" ht="28" customHeight="1">
      <c r="A710" s="10" t="str">
        <v>Phenotype domains</v>
      </c>
      <c r="B710" s="11" t="str">
        <v>retinal</v>
      </c>
    </row>
    <row r="711" ht="28" customHeight="1">
      <c r="A711" s="10" t="str">
        <v>Unrelated families (lower bound)</v>
      </c>
      <c r="B711" s="11" t="n">
        <v>2</v>
      </c>
    </row>
    <row r="712" ht="64" customHeight="1">
      <c r="A712" s="10" t="str">
        <v>Evidence summary (AI)</v>
      </c>
      <c r="B712" s="11" t="str">
        <v>2023 Chinese dominant RP pedigree with variant reduction, zebrafish perturbation and mitophagy assays; independent Mexican RP family2025. Prior2021 neurodevelopmental association is non-target and must be separately cited.</v>
      </c>
    </row>
    <row r="713" ht="64" customHeight="1">
      <c r="A713" s="10" t="str">
        <v>Qualifying functional evidence</v>
      </c>
      <c r="B713" s="11" t="str">
        <v>2023 Chinese dominant RP pedigree with variant reduction, zebrafish perturbation and mitophagy assays; independent Mexican RP family2025. Prior2021 neurodevelopmental association is non-target and must be separately cited.</v>
      </c>
    </row>
    <row r="714" ht="64" customHeight="1">
      <c r="A714" s="10" t="str">
        <v>Eligibility rationale (AI)</v>
      </c>
      <c r="B714" s="11" t="str">
        <v>2023 Chinese dominant RP pedigree with variant reduction, zebrafish perturbation and mitophagy assays; independent Mexican RP family2025. Prior2021 neurodevelopmental association is non-target and must be separately cited.</v>
      </c>
    </row>
    <row r="715" ht="28" customHeight="1">
      <c r="A715" s="10" t="str">
        <v>Replication PMIDs</v>
      </c>
      <c r="B715" s="11" t="str"/>
    </row>
    <row r="716" ht="28" customHeight="1">
      <c r="A716" s="10" t="str">
        <v>Replication evidence (AI)</v>
      </c>
      <c r="B716" s="11" t="str">
        <v>Not recorded in source</v>
      </c>
    </row>
    <row r="717" ht="46" customHeight="1">
      <c r="A717" s="10" t="str">
        <v>Generic AI inheritance summary</v>
      </c>
      <c r="B717" s="11" t="str">
        <v>Reported segregating biallelic/dominant or confirmed de novo genotypes consistent with the target phenotype; source-specific details in cited primary studies.</v>
      </c>
    </row>
    <row r="718" ht="28" customHeight="1">
      <c r="A718" s="10" t="str">
        <v>Reference keys</v>
      </c>
      <c r="B718" s="11" t="str">
        <v>MED:34660594; MED:37012052; MED:40638000</v>
      </c>
    </row>
    <row r="719" ht="26" customHeight="1">
      <c r="A719" s="2" t="str">
        <v>Primary literature / PubMed</v>
      </c>
      <c r="B719" s="13" t="str">
        <v>PMID 34660594</v>
      </c>
    </row>
    <row r="720" ht="26" customHeight="1">
      <c r="A720" s="2" t="str">
        <v>Primary literature / PubMed</v>
      </c>
      <c r="B720" s="13" t="str">
        <v>PMID 37012052</v>
      </c>
    </row>
    <row r="721" ht="26" customHeight="1">
      <c r="A721" s="2" t="str">
        <v>Primary literature / PubMed</v>
      </c>
      <c r="B721" s="13" t="str">
        <v>PMID 40638000</v>
      </c>
    </row>
    <row r="722" ht="28" customHeight="1">
      <c r="A722" s="2" t="str">
        <v>Author verification</v>
      </c>
      <c r="B722" s="13" t="str">
        <v>Return to VWA8 — enter human decisions in Review</v>
      </c>
    </row>
    <row r="723">
      <c r="A723" s="2"/>
      <c r="B723" s="2"/>
    </row>
    <row r="724" ht="30" customHeight="1">
      <c r="A724" s="8" t="str">
        <v>XXYLT1</v>
      </c>
      <c r="B724" s="8" t="str">
        <v>HGNC:26639</v>
      </c>
    </row>
    <row r="725" ht="28" customHeight="1">
      <c r="A725" s="10" t="str">
        <v>Novelty (AI screening)</v>
      </c>
      <c r="B725" s="11" t="str">
        <v>A</v>
      </c>
    </row>
    <row r="726" ht="28" customHeight="1">
      <c r="A726" s="10" t="str">
        <v>Earliest located public date</v>
      </c>
      <c r="B726" s="12" t="n">
        <v>46233</v>
      </c>
    </row>
    <row r="727" ht="28" customHeight="1">
      <c r="A727" s="10" t="str">
        <v>Public date interval</v>
      </c>
      <c r="B727" s="11" t="str">
        <v>2026-01-01; 2026-07-30</v>
      </c>
    </row>
    <row r="728" ht="28" customHeight="1">
      <c r="A728" s="10" t="str">
        <v>Phenotype domains</v>
      </c>
      <c r="B728" s="11" t="str">
        <v>retinal</v>
      </c>
    </row>
    <row r="729" ht="28" customHeight="1">
      <c r="A729" s="10" t="str">
        <v>Unrelated families (lower bound)</v>
      </c>
      <c r="B729" s="11" t="n">
        <v>2</v>
      </c>
    </row>
    <row r="730" ht="46" customHeight="1">
      <c r="A730" s="10" t="str">
        <v>Evidence summary (AI)</v>
      </c>
      <c r="B730" s="11" t="str">
        <v>Clinical replication in at least four Finnish and two UK families after GWAS; splice defect demonstrated experimentally. This is supported Mendelian association, not GWAS-only evidence.</v>
      </c>
    </row>
    <row r="731" ht="46" customHeight="1">
      <c r="A731" s="10" t="str">
        <v>Qualifying functional evidence</v>
      </c>
      <c r="B731" s="11" t="str">
        <v>Clinical replication in at least four Finnish and two UK families after GWAS; splice defect demonstrated experimentally. This is supported Mendelian association, not GWAS-only evidence.</v>
      </c>
    </row>
    <row r="732" ht="46" customHeight="1">
      <c r="A732" s="10" t="str">
        <v>Eligibility rationale (AI)</v>
      </c>
      <c r="B732" s="11" t="str">
        <v>Clinical replication in at least four Finnish and two UK families after GWAS; splice defect demonstrated experimentally. This is supported Mendelian association, not GWAS-only evidence.</v>
      </c>
    </row>
    <row r="733" ht="28" customHeight="1">
      <c r="A733" s="10" t="str">
        <v>Replication PMIDs</v>
      </c>
      <c r="B733" s="11" t="str"/>
    </row>
    <row r="734" ht="28" customHeight="1">
      <c r="A734" s="10" t="str">
        <v>Replication evidence (AI)</v>
      </c>
      <c r="B734" s="11" t="str">
        <v>Not recorded in source</v>
      </c>
    </row>
    <row r="735" ht="46" customHeight="1">
      <c r="A735" s="10" t="str">
        <v>Generic AI inheritance summary</v>
      </c>
      <c r="B735" s="11" t="str">
        <v>Reported segregating biallelic/dominant or confirmed de novo genotypes consistent with the target phenotype; source-specific details in cited primary studies.</v>
      </c>
    </row>
    <row r="736" ht="28" customHeight="1">
      <c r="A736" s="10" t="str">
        <v>Reference keys</v>
      </c>
      <c r="B736" s="11" t="str">
        <v>MED:42530953</v>
      </c>
    </row>
    <row r="737" ht="26" customHeight="1">
      <c r="A737" s="2" t="str">
        <v>Primary literature / PubMed</v>
      </c>
      <c r="B737" s="13" t="str">
        <v>PMID 42530953</v>
      </c>
    </row>
    <row r="738" ht="28" customHeight="1">
      <c r="A738" s="2" t="str">
        <v>Author verification</v>
      </c>
      <c r="B738" s="13" t="str">
        <v>Return to XXYLT1 — enter human decisions in Review</v>
      </c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  <row r="1000">
      <c r="A1000" s="2"/>
      <c r="B1000" s="2"/>
    </row>
  </sheetData>
  <hyperlinks>
    <hyperlink ref="B16" r:id="rIdTemporalLiterature0"/>
    <hyperlink ref="B17" r:id="rIdTemporalLiterature1"/>
    <hyperlink ref="B18" r:id="rIdTemporalLiterature2"/>
    <hyperlink ref="B19" location="'Review'!A9"/>
    <hyperlink ref="B34" r:id="rIdTemporalLiterature4"/>
    <hyperlink ref="B35" r:id="rIdTemporalLiterature5"/>
    <hyperlink ref="B36" location="'Review'!A10"/>
    <hyperlink ref="B51" r:id="rIdTemporalLiterature7"/>
    <hyperlink ref="B52" location="'Review'!A11"/>
    <hyperlink ref="B67" r:id="rIdTemporalLiterature9"/>
    <hyperlink ref="B68" r:id="rIdTemporalLiterature10"/>
    <hyperlink ref="B69" location="'Review'!A12"/>
    <hyperlink ref="B84" r:id="rIdTemporalLiterature12"/>
    <hyperlink ref="B85" location="'Review'!A13"/>
    <hyperlink ref="B100" r:id="rIdTemporalLiterature14"/>
    <hyperlink ref="B101" r:id="rIdTemporalLiterature15"/>
    <hyperlink ref="B102" location="'Review'!A14"/>
    <hyperlink ref="B117" r:id="rIdTemporalLiterature17"/>
    <hyperlink ref="B118" location="'Review'!A15"/>
    <hyperlink ref="B133" r:id="rIdTemporalLiterature19"/>
    <hyperlink ref="B134" location="'Review'!A16"/>
    <hyperlink ref="B149" r:id="rIdTemporalLiterature21"/>
    <hyperlink ref="B150" location="'Review'!A17"/>
    <hyperlink ref="B165" r:id="rIdTemporalLiterature23"/>
    <hyperlink ref="B166" location="'Review'!A18"/>
    <hyperlink ref="B181" r:id="rIdTemporalLiterature25"/>
    <hyperlink ref="B182" location="'Review'!A19"/>
    <hyperlink ref="B197" r:id="rIdTemporalLiterature27"/>
    <hyperlink ref="B198" location="'Review'!A20"/>
    <hyperlink ref="B213" r:id="rIdTemporalLiterature29"/>
    <hyperlink ref="B214" location="'Review'!A21"/>
    <hyperlink ref="B229" r:id="rIdTemporalLiterature31"/>
    <hyperlink ref="B230" location="'Review'!A22"/>
    <hyperlink ref="B245" r:id="rIdTemporalLiterature33"/>
    <hyperlink ref="B246" r:id="rIdTemporalLiterature34"/>
    <hyperlink ref="B247" location="'Review'!A23"/>
    <hyperlink ref="B262" r:id="rIdTemporalLiterature36"/>
    <hyperlink ref="B263" location="'Review'!A24"/>
    <hyperlink ref="B278" r:id="rIdTemporalLiterature38"/>
    <hyperlink ref="B279" location="'Review'!A25"/>
    <hyperlink ref="B294" r:id="rIdTemporalLiterature40"/>
    <hyperlink ref="B295" location="'Review'!A26"/>
    <hyperlink ref="B310" r:id="rIdTemporalLiterature42"/>
    <hyperlink ref="B311" r:id="rIdTemporalLiterature43"/>
    <hyperlink ref="B312" r:id="rIdTemporalLiterature44"/>
    <hyperlink ref="B313" location="'Review'!A27"/>
    <hyperlink ref="B328" r:id="rIdTemporalLiterature46"/>
    <hyperlink ref="B329" r:id="rIdTemporalLiterature47"/>
    <hyperlink ref="B330" location="'Review'!A28"/>
    <hyperlink ref="B345" r:id="rIdTemporalLiterature49"/>
    <hyperlink ref="B346" location="'Review'!A29"/>
    <hyperlink ref="B361" r:id="rIdTemporalLiterature51"/>
    <hyperlink ref="B362" location="'Review'!A30"/>
    <hyperlink ref="B377" r:id="rIdTemporalLiterature53"/>
    <hyperlink ref="B378" location="'Review'!A31"/>
    <hyperlink ref="B393" r:id="rIdTemporalLiterature55"/>
    <hyperlink ref="B394" r:id="rIdTemporalLiterature56"/>
    <hyperlink ref="B395" r:id="rIdTemporalLiterature57"/>
    <hyperlink ref="B396" location="'Review'!A32"/>
    <hyperlink ref="B411" r:id="rIdTemporalLiterature59"/>
    <hyperlink ref="B412" location="'Review'!A33"/>
    <hyperlink ref="B427" r:id="rIdTemporalLiterature61"/>
    <hyperlink ref="B428" r:id="rIdTemporalLiterature62"/>
    <hyperlink ref="B429" location="'Review'!A34"/>
    <hyperlink ref="B444" r:id="rIdTemporalLiterature64"/>
    <hyperlink ref="B445" location="'Review'!A35"/>
    <hyperlink ref="B460" r:id="rIdTemporalLiterature66"/>
    <hyperlink ref="B461" location="'Review'!A36"/>
    <hyperlink ref="B476" r:id="rIdTemporalLiterature68"/>
    <hyperlink ref="B477" location="'Review'!A37"/>
    <hyperlink ref="B492" r:id="rIdTemporalLiterature70"/>
    <hyperlink ref="B493" location="'Review'!A38"/>
    <hyperlink ref="B508" r:id="rIdTemporalLiterature72"/>
    <hyperlink ref="B509" location="'Review'!A39"/>
    <hyperlink ref="B524" r:id="rIdTemporalLiterature74"/>
    <hyperlink ref="B525" location="'Review'!A40"/>
    <hyperlink ref="B540" r:id="rIdTemporalLiterature76"/>
    <hyperlink ref="B541" location="'Review'!A41"/>
    <hyperlink ref="B556" r:id="rIdTemporalLiterature78"/>
    <hyperlink ref="B557" location="'Review'!A42"/>
    <hyperlink ref="B572" r:id="rIdTemporalLiterature80"/>
    <hyperlink ref="B573" location="'Review'!A43"/>
    <hyperlink ref="B588" r:id="rIdTemporalLiterature82"/>
    <hyperlink ref="B589" r:id="rIdTemporalLiterature83"/>
    <hyperlink ref="B590" location="'Review'!A44"/>
    <hyperlink ref="B605" r:id="rIdTemporalLiterature85"/>
    <hyperlink ref="B606" r:id="rIdTemporalLiterature86"/>
    <hyperlink ref="B607" location="'Review'!A45"/>
    <hyperlink ref="B622" r:id="rIdTemporalLiterature88"/>
    <hyperlink ref="B623" r:id="rIdTemporalLiterature89"/>
    <hyperlink ref="B624" location="'Review'!A46"/>
    <hyperlink ref="B639" r:id="rIdTemporalLiterature91"/>
    <hyperlink ref="B640" location="'Review'!A47"/>
    <hyperlink ref="B655" r:id="rIdTemporalLiterature93"/>
    <hyperlink ref="B656" location="'Review'!A48"/>
    <hyperlink ref="B671" r:id="rIdTemporalLiterature95"/>
    <hyperlink ref="B672" location="'Review'!A49"/>
    <hyperlink ref="B687" r:id="rIdTemporalLiterature97"/>
    <hyperlink ref="B688" location="'Review'!A50"/>
    <hyperlink ref="B703" r:id="rIdTemporalLiterature99"/>
    <hyperlink ref="B704" location="'Review'!A51"/>
    <hyperlink ref="B719" r:id="rIdTemporalLiterature101"/>
    <hyperlink ref="B720" r:id="rIdTemporalLiterature102"/>
    <hyperlink ref="B721" r:id="rIdTemporalLiterature103"/>
    <hyperlink ref="B722" location="'Review'!A52"/>
    <hyperlink ref="B737" r:id="rIdTemporalLiterature105"/>
    <hyperlink ref="B738" location="'Review'!A53"/>
  </hyperlinks>
  <pageMargins left="0.7" right="0.7" top="0.75" bottom="0.75" header="0.3" footer="0.3"/>
</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56" hidden="0" customWidth="1"/>
    <x:col min="11" max="11" width="56" hidden="0" customWidth="1"/>
    <x:col min="12" max="12" width="56" hidden="0" customWidth="1"/>
    <x:col min="13" max="13" width="22" hidden="0" customWidth="1"/>
    <x:col min="14" max="14" width="22" hidden="0" customWidth="1"/>
    <x:col min="15" max="15" width="22" hidden="0" customWidth="1"/>
    <x:col min="16" max="16" width="56" hidden="0" customWidth="1"/>
    <x:col min="17" max="17" width="22" hidden="0" customWidth="1"/>
    <x:col min="18" max="18" width="22" hidden="0" customWidth="1"/>
    <x:col min="19" max="19" width="56" hidden="0" customWidth="1"/>
    <x:col min="20" max="20" width="56" hidden="0" customWidth="1"/>
    <x:col min="21" max="21" width="56" hidden="0" customWidth="1"/>
  </x:cols>
  <x:sheetData>
    <x:row r="1" ht="72" customHeight="1">
      <x:c r="A1" s="8" t="str">
        <x:v>symbol</x:v>
      </x:c>
      <x:c r="B1" s="8" t="str">
        <x:v>gene_key</x:v>
      </x:c>
      <x:c r="C1" s="8" t="str">
        <x:v>novelty</x:v>
      </x:c>
      <x:c r="D1" s="8" t="str">
        <x:v>earliest_located_publication_date</x:v>
      </x:c>
      <x:c r="E1" s="8" t="str">
        <x:v>target_public_date_interval</x:v>
      </x:c>
      <x:c r="F1" s="8" t="str">
        <x:v>domains</x:v>
      </x:c>
      <x:c r="G1" s="8" t="str">
        <x:v>unrelated_target_families_lower_bound</x:v>
      </x:c>
      <x:c r="H1" s="8" t="str">
        <x:v>clinical_pmids</x:v>
      </x:c>
      <x:c r="I1" s="8" t="str">
        <x:v>reference_keys</x:v>
      </x:c>
      <x:c r="J1" s="8" t="str">
        <x:v>evidence_summary</x:v>
      </x:c>
      <x:c r="K1" s="8" t="str">
        <x:v>qualifying_functional_evidence</x:v>
      </x:c>
      <x:c r="L1" s="8" t="str">
        <x:v>decision_reason</x:v>
      </x:c>
      <x:c r="M1" s="8" t="str">
        <x:v>human_reviewer</x:v>
      </x:c>
      <x:c r="N1" s="8" t="str">
        <x:v>human_review_date</x:v>
      </x:c>
      <x:c r="O1" s="8" t="str">
        <x:v>human_eligibility_decision</x:v>
      </x:c>
      <x:c r="P1" s="8" t="str">
        <x:v>human_date_decision</x:v>
      </x:c>
      <x:c r="Q1" s="8" t="str">
        <x:v>human_notes</x:v>
      </x:c>
      <x:c r="R1" s="8" t="str">
        <x:v>independent_replication_pmids</x:v>
      </x:c>
      <x:c r="S1" s="8" t="str">
        <x:v>independent_replication_evidence</x:v>
      </x:c>
      <x:c r="T1" s="8" t="str">
        <x:v>ai_inheritance_summary_not_case_specific</x:v>
      </x:c>
      <x:c r="U1" s="8" t="str">
        <x:v>human_inheritance_genotype_evidence</x:v>
      </x:c>
    </x:row>
    <x:row r="2" ht="130" customHeight="1">
      <x:c r="A2" s="20" t="str">
        <x:v>AP5B1</x:v>
      </x:c>
      <x:c r="B2" s="20" t="str">
        <x:v>HGNC:25104</x:v>
      </x:c>
      <x:c r="C2" s="20" t="str">
        <x:v>A</x:v>
      </x:c>
      <x:c r="D2" s="20" t="str">
        <x:v>2025-03-12</x:v>
      </x:c>
      <x:c r="E2" s="20" t="str">
        <x:v>["2025-01-01", "2025-03-12"]</x:v>
      </x:c>
      <x:c r="F2" s="20" t="str">
        <x:v>["retinal"]</x:v>
      </x:c>
      <x:c r="G2" s="20" t="str">
        <x:v>2</x:v>
      </x:c>
      <x:c r="H2" s="20" t="str">
        <x:v>["40081374", "41830174", "42568187"]</x:v>
      </x:c>
      <x:c r="I2" s="20" t="str">
        <x:v>["MED:40081374", "MED:41830174", "MED:42568187"]</x:v>
      </x:c>
      <x:c r="J2" s="20" t="str">
        <x:v>First paper covers 19 families across three genes; use each gene-specific pedigree count. Healthy-RPE localization alone is not qualifying functional validation; independent 2026 AP5Z1/AP5B1 replication may meet rubric. AP5Z1 had prior spastic paraplegia.</x:v>
      </x:c>
      <x:c r="K2" s="20" t="str"/>
      <x:c r="L2" s="20" t="str">
        <x:v>First paper covers 19 families across three genes; use each gene-specific pedigree count. Healthy-RPE localization alone is not qualifying functional validation; independent 2026 AP5Z1/AP5B1 replication may meet rubric. AP5Z1 had prior spastic paraplegia.</x:v>
      </x:c>
      <x:c r="M2" s="20" t="str"/>
      <x:c r="N2" s="20" t="str"/>
      <x:c r="O2" s="20" t="str">
        <x:v>PENDING</x:v>
      </x:c>
      <x:c r="P2" s="20" t="str">
        <x:v>PENDING</x:v>
      </x:c>
      <x:c r="Q2" s="20" t="str"/>
      <x:c r="R2" s="20" t="str">
        <x:v>["41830174", "42568187"]</x:v>
      </x:c>
      <x:c r="S2" s="20" t="str">
        <x:v>2026 report includes 22 affected people in 20 families; use per-gene counts, not all 19 families in first multi-gene study.</x:v>
      </x:c>
      <x:c r="T2" s="20" t="str">
        <x:v>Reported segregating biallelic/dominant or confirmed de novo genotypes consistent with the target phenotype; source-specific details in cited primary studies.</x:v>
      </x:c>
      <x:c r="U2" s="20" t="str">
        <x:v>PENDING: record case-specific inheritance, segregating variants and source location</x:v>
      </x:c>
    </x:row>
    <x:row r="3" ht="130" customHeight="1">
      <x:c r="A3" s="20" t="str">
        <x:v>ATP11A</x:v>
      </x:c>
      <x:c r="B3" s="20" t="str">
        <x:v>HGNC:13552</x:v>
      </x:c>
      <x:c r="C3" s="20" t="str">
        <x:v>A</x:v>
      </x:c>
      <x:c r="D3" s="20" t="str">
        <x:v>2021-05-28</x:v>
      </x:c>
      <x:c r="E3" s="20" t="str">
        <x:v>["2021-01-01", "2021-05-28"]</x:v>
      </x:c>
      <x:c r="F3" s="20" t="str">
        <x:v>["hearing"]</x:v>
      </x:c>
      <x:c r="G3" s="20" t="str">
        <x:v>2</x:v>
      </x:c>
      <x:c r="H3" s="20" t="str">
        <x:v>["35278131", "36300302"]</x:v>
      </x:c>
      <x:c r="I3" s="20" t="str">
        <x:v>["MED:35278131", "MED:36300302"]</x:v>
      </x:c>
      <x:c r="J3" s="20" t="str">
        <x:v>Independent familial sensorineural hearing and auditory neuropathy reports; splice/flippase and mouse evidence.</x:v>
      </x:c>
      <x:c r="K3" s="20" t="str">
        <x:v>Independent familial sensorineural hearing and auditory neuropathy reports; splice/flippase and mouse evidence.</x:v>
      </x:c>
      <x:c r="L3" s="20" t="str">
        <x:v>Independent familial sensorineural hearing and auditory neuropathy reports; splice/flippase and mouse evidence.</x:v>
      </x:c>
      <x:c r="M3" s="20" t="str"/>
      <x:c r="N3" s="20" t="str"/>
      <x:c r="O3" s="20" t="str">
        <x:v>PENDING</x:v>
      </x:c>
      <x:c r="P3" s="20" t="str">
        <x:v>PENDING</x:v>
      </x:c>
      <x:c r="Q3" s="20" t="str"/>
      <x:c r="R3" s="20" t="str">
        <x:v>[]</x:v>
      </x:c>
      <x:c r="S3" s="20" t="str"/>
      <x:c r="T3" s="20" t="str">
        <x:v>Reported segregating biallelic/dominant or confirmed de novo genotypes consistent with the target phenotype; source-specific details in cited primary studies.</x:v>
      </x:c>
      <x:c r="U3" s="20" t="str">
        <x:v>PENDING: record case-specific inheritance, segregating variants and source location</x:v>
      </x:c>
    </x:row>
    <x:row r="4" ht="130" customHeight="1">
      <x:c r="A4" s="20" t="str">
        <x:v>BRWD1</x:v>
      </x:c>
      <x:c r="B4" s="20" t="str">
        <x:v>HGNC:12760</x:v>
      </x:c>
      <x:c r="C4" s="20" t="str">
        <x:v>A</x:v>
      </x:c>
      <x:c r="D4" s="20" t="str">
        <x:v>2021-01-03</x:v>
      </x:c>
      <x:c r="E4" s="20" t="str">
        <x:v>["2021-01-01", "2021-01-03"]</x:v>
      </x:c>
      <x:c r="F4" s="20" t="str">
        <x:v>["motile_cilia"]</x:v>
      </x:c>
      <x:c r="G4" s="20" t="str">
        <x:v>2</x:v>
      </x:c>
      <x:c r="H4" s="20" t="str">
        <x:v>["33389130"]</x:v>
      </x:c>
      <x:c r="I4" s="20" t="str">
        <x:v>["MED:33389130"]</x:v>
      </x:c>
      <x:c r="J4" s="20" t="str">
        <x:v>Astra located red-panel nomination: three unrelated PCD individuals plus ciliary structural/function evidence; publisher public date 2021-01-03.</x:v>
      </x:c>
      <x:c r="K4" s="20" t="str">
        <x:v>Astra located red-panel nomination: three unrelated PCD individuals plus ciliary structural/function evidence; publisher public date 2021-01-03.</x:v>
      </x:c>
      <x:c r="L4" s="20" t="str">
        <x:v>Astra located red-panel nomination: three unrelated PCD individuals plus ciliary structural/function evidence; publisher public date 2021-01-03.</x:v>
      </x:c>
      <x:c r="M4" s="20" t="str"/>
      <x:c r="N4" s="20" t="str"/>
      <x:c r="O4" s="20" t="str">
        <x:v>PENDING</x:v>
      </x:c>
      <x:c r="P4" s="20" t="str">
        <x:v>PENDING</x:v>
      </x:c>
      <x:c r="Q4" s="20" t="str"/>
      <x:c r="R4" s="20" t="str">
        <x:v>[]</x:v>
      </x:c>
      <x:c r="S4" s="20" t="str"/>
      <x:c r="T4" s="20" t="str">
        <x:v>Reported segregating biallelic/dominant or confirmed de novo genotypes consistent with the target phenotype; source-specific details in cited primary studies.</x:v>
      </x:c>
      <x:c r="U4" s="20" t="str">
        <x:v>PENDING: record case-specific inheritance, segregating variants and source location</x:v>
      </x:c>
    </x:row>
    <x:row r="5" ht="130" customHeight="1">
      <x:c r="A5" s="20" t="str">
        <x:v>C19orf44</x:v>
      </x:c>
      <x:c r="B5" s="20" t="str">
        <x:v>HGNC:26141</x:v>
      </x:c>
      <x:c r="C5" s="20" t="str">
        <x:v>A</x:v>
      </x:c>
      <x:c r="D5" s="20" t="str">
        <x:v>2025-03-10</x:v>
      </x:c>
      <x:c r="E5" s="20" t="str">
        <x:v>["2025-01-01", "2025-03-10"]</x:v>
      </x:c>
      <x:c r="F5" s="20" t="str">
        <x:v>["retinal"]</x:v>
      </x:c>
      <x:c r="G5" s="20" t="str">
        <x:v>2</x:v>
      </x:c>
      <x:c r="H5" s="20" t="str">
        <x:v>["40079362", "40744518"]</x:v>
      </x:c>
      <x:c r="I5" s="20" t="str">
        <x:v>["MED:40079362", "MED:40744518"]</x:v>
      </x:c>
      <x:c r="J5" s="20" t="str">
        <x:v>Eleven unrelated retinal families; abstract reports expression/localization only, so locate variant functional evidence or independent replication before assigning strong cohort.</x:v>
      </x:c>
      <x:c r="K5" s="20" t="str"/>
      <x:c r="L5" s="20" t="str">
        <x:v>Eleven unrelated retinal families; abstract reports expression/localization only, so locate variant functional evidence or independent replication before assigning strong cohort.</x:v>
      </x:c>
      <x:c r="M5" s="20" t="str"/>
      <x:c r="N5" s="20" t="str"/>
      <x:c r="O5" s="20" t="str">
        <x:v>PENDING</x:v>
      </x:c>
      <x:c r="P5" s="20" t="str">
        <x:v>PENDING</x:v>
      </x:c>
      <x:c r="Q5" s="20" t="str"/>
      <x:c r="R5" s="20" t="str">
        <x:v>["40744518"]</x:v>
      </x:c>
      <x:c r="S5" s="20" t="str">
        <x:v>Independent EastAsianpatient3 has c.1168C&gt;T/c.976_977del, absent originalfourvariantlist andancestries; at leastone genuinelynewtargetfamily established without assumingallthree are independent.</x:v>
      </x:c>
      <x:c r="T5" s="20" t="str">
        <x:v>Reported segregating biallelic/dominant or confirmed de novo genotypes consistent with the target phenotype; source-specific details in cited primary studies.</x:v>
      </x:c>
      <x:c r="U5" s="20" t="str">
        <x:v>PENDING: record case-specific inheritance, segregating variants and source location</x:v>
      </x:c>
    </x:row>
    <x:row r="6" ht="130" customHeight="1">
      <x:c r="A6" s="20" t="str">
        <x:v>CEP76</x:v>
      </x:c>
      <x:c r="B6" s="20" t="str">
        <x:v>HGNC:25727</x:v>
      </x:c>
      <x:c r="C6" s="20" t="str">
        <x:v>A</x:v>
      </x:c>
      <x:c r="D6" s="20" t="str">
        <x:v>2025-10-17</x:v>
      </x:c>
      <x:c r="E6" s="20" t="str">
        <x:v>["2025-01-01", "2025-10-17"]</x:v>
      </x:c>
      <x:c r="F6" s="20" t="str">
        <x:v>["primary_cilia"]</x:v>
      </x:c>
      <x:c r="G6" s="20" t="str">
        <x:v>2</x:v>
      </x:c>
      <x:c r="H6" s="20" t="str">
        <x:v>["41105778"]</x:v>
      </x:c>
      <x:c r="I6" s="20" t="str">
        <x:v>["MED:41105778"]</x:v>
      </x:c>
      <x:c r="J6" s="20" t="str">
        <x:v>Eight unrelated individuals with multisystem ciliopathy; patient cells, variant complementation and zebrafish.</x:v>
      </x:c>
      <x:c r="K6" s="20" t="str">
        <x:v>Eight unrelated individuals with multisystem ciliopathy; patient cells, variant complementation and zebrafish.</x:v>
      </x:c>
      <x:c r="L6" s="20" t="str">
        <x:v>Eight unrelated individuals with multisystem ciliopathy; patient cells, variant complementation and zebrafish.</x:v>
      </x:c>
      <x:c r="M6" s="20" t="str"/>
      <x:c r="N6" s="20" t="str"/>
      <x:c r="O6" s="20" t="str">
        <x:v>PENDING</x:v>
      </x:c>
      <x:c r="P6" s="20" t="str">
        <x:v>PENDING</x:v>
      </x:c>
      <x:c r="Q6" s="20" t="str"/>
      <x:c r="R6" s="20" t="str">
        <x:v>[]</x:v>
      </x:c>
      <x:c r="S6" s="20" t="str"/>
      <x:c r="T6" s="20" t="str">
        <x:v>Reported segregating biallelic/dominant or confirmed de novo genotypes consistent with the target phenotype; source-specific details in cited primary studies.</x:v>
      </x:c>
      <x:c r="U6" s="20" t="str">
        <x:v>PENDING: record case-specific inheritance, segregating variants and source location</x:v>
      </x:c>
    </x:row>
    <x:row r="7" ht="130" customHeight="1">
      <x:c r="A7" s="20" t="str">
        <x:v>CFAP54</x:v>
      </x:c>
      <x:c r="B7" s="20" t="str">
        <x:v>HGNC:26456</x:v>
      </x:c>
      <x:c r="C7" s="20" t="str">
        <x:v>A</x:v>
      </x:c>
      <x:c r="D7" s="20" t="str">
        <x:v>2023-09-19</x:v>
      </x:c>
      <x:c r="E7" s="20" t="str">
        <x:v>["2023-01-01", "2023-09-19"]</x:v>
      </x:c>
      <x:c r="F7" s="20" t="str">
        <x:v>["motile_cilia"]</x:v>
      </x:c>
      <x:c r="G7" s="20" t="str">
        <x:v>2</x:v>
      </x:c>
      <x:c r="H7" s="20" t="str">
        <x:v>["37725231", "39362668"]</x:v>
      </x:c>
      <x:c r="I7" s="20" t="str">
        <x:v>["MED:37725231", "MED:39362668"]</x:v>
      </x:c>
      <x:c r="J7" s="20" t="str">
        <x:v>First paper has two unrelated PCD patients and variant/knock-in mouse support; second paper adds four CFAP54 families, not four CFAP46 families.</x:v>
      </x:c>
      <x:c r="K7" s="20" t="str">
        <x:v>First paper has two unrelated PCD patients and variant/knock-in mouse support; second paper adds four CFAP54 families, not four CFAP46 families.</x:v>
      </x:c>
      <x:c r="L7" s="20" t="str">
        <x:v>First paper has two unrelated PCD patients and variant/knock-in mouse support; second paper adds four CFAP54 families, not four CFAP46 families.</x:v>
      </x:c>
      <x:c r="M7" s="20" t="str"/>
      <x:c r="N7" s="20" t="str"/>
      <x:c r="O7" s="20" t="str">
        <x:v>PENDING</x:v>
      </x:c>
      <x:c r="P7" s="20" t="str">
        <x:v>PENDING</x:v>
      </x:c>
      <x:c r="Q7" s="20" t="str"/>
      <x:c r="R7" s="20" t="str">
        <x:v>[]</x:v>
      </x:c>
      <x:c r="S7" s="20" t="str"/>
      <x:c r="T7" s="20" t="str">
        <x:v>Reported segregating biallelic/dominant or confirmed de novo genotypes consistent with the target phenotype; source-specific details in cited primary studies.</x:v>
      </x:c>
      <x:c r="U7" s="20" t="str">
        <x:v>PENDING: record case-specific inheritance, segregating variants and source location</x:v>
      </x:c>
    </x:row>
    <x:row r="8" ht="130" customHeight="1">
      <x:c r="A8" s="20" t="str">
        <x:v>CLEC3B</x:v>
      </x:c>
      <x:c r="B8" s="20" t="str">
        <x:v>HGNC:11891</x:v>
      </x:c>
      <x:c r="C8" s="20" t="str">
        <x:v>A</x:v>
      </x:c>
      <x:c r="D8" s="20" t="str">
        <x:v>2022-03-22</x:v>
      </x:c>
      <x:c r="E8" s="20" t="str">
        <x:v>["2022-01-01", "2022-03-22"]</x:v>
      </x:c>
      <x:c r="F8" s="20" t="str">
        <x:v>["retinal"]</x:v>
      </x:c>
      <x:c r="G8" s="20" t="str">
        <x:v>2</x:v>
      </x:c>
      <x:c r="H8" s="20" t="str">
        <x:v>["35331648"]</x:v>
      </x:c>
      <x:c r="I8" s="20" t="str">
        <x:v>["MED:35331648"]</x:v>
      </x:c>
      <x:c r="J8" s="20" t="str">
        <x:v>Five multigenerational maculoretinopathy families; mutant-gene delivery recapitulates retinal structural/functional defects.</x:v>
      </x:c>
      <x:c r="K8" s="20" t="str">
        <x:v>Five multigenerational maculoretinopathy families; mutant-gene delivery recapitulates retinal structural/functional defects.</x:v>
      </x:c>
      <x:c r="L8" s="20" t="str">
        <x:v>Five multigenerational maculoretinopathy families; mutant-gene delivery recapitulates retinal structural/functional defects.</x:v>
      </x:c>
      <x:c r="M8" s="20" t="str"/>
      <x:c r="N8" s="20" t="str"/>
      <x:c r="O8" s="20" t="str">
        <x:v>PENDING</x:v>
      </x:c>
      <x:c r="P8" s="20" t="str">
        <x:v>PENDING</x:v>
      </x:c>
      <x:c r="Q8" s="20" t="str"/>
      <x:c r="R8" s="20" t="str">
        <x:v>[]</x:v>
      </x:c>
      <x:c r="S8" s="20" t="str"/>
      <x:c r="T8" s="20" t="str">
        <x:v>Reported segregating biallelic/dominant or confirmed de novo genotypes consistent with the target phenotype; source-specific details in cited primary studies.</x:v>
      </x:c>
      <x:c r="U8" s="20" t="str">
        <x:v>PENDING: record case-specific inheritance, segregating variants and source location</x:v>
      </x:c>
    </x:row>
    <x:row r="9" ht="130" customHeight="1">
      <x:c r="A9" s="20" t="str">
        <x:v>COQ5</x:v>
      </x:c>
      <x:c r="B9" s="20" t="str">
        <x:v>HGNC:28722</x:v>
      </x:c>
      <x:c r="C9" s="20" t="str">
        <x:v>B</x:v>
      </x:c>
      <x:c r="D9" s="20" t="str">
        <x:v>2022-10-20</x:v>
      </x:c>
      <x:c r="E9" s="20" t="str">
        <x:v>["2022-01-01", "2022-10-20"]</x:v>
      </x:c>
      <x:c r="F9" s="20" t="str">
        <x:v>["retinal"]</x:v>
      </x:c>
      <x:c r="G9" s="20" t="str">
        <x:v>2</x:v>
      </x:c>
      <x:c r="H9" s="20" t="str">
        <x:v>["36266294"]</x:v>
      </x:c>
      <x:c r="I9" s="20" t="str">
        <x:v>["MED:36266294"]</x:v>
      </x:c>
      <x:c r="J9" s="20" t="str">
        <x:v>Primary PMC9581764: retinal families11/12, in-trans alleles and splice defect c.682-7T&gt;G. Earlier2017 PMC5722658 neurological report explicitly normal fundoscopy, no target sensory phenotype.</x:v>
      </x:c>
      <x:c r="K9" s="20" t="str">
        <x:v>Primary PMC9581764: retinal families11/12, in-trans alleles and splice defect c.682-7T&gt;G. Earlier2017 PMC5722658 neurological report explicitly normal fundoscopy, no target sensory phenotype.</x:v>
      </x:c>
      <x:c r="L9" s="20" t="str">
        <x:v>Primary PMC9581764: retinal families11/12, in-trans alleles and splice defect c.682-7T&gt;G. Earlier2017 PMC5722658 neurological report explicitly normal fundoscopy, no target sensory phenotype.</x:v>
      </x:c>
      <x:c r="M9" s="20" t="str"/>
      <x:c r="N9" s="20" t="str"/>
      <x:c r="O9" s="20" t="str">
        <x:v>PENDING</x:v>
      </x:c>
      <x:c r="P9" s="20" t="str">
        <x:v>PENDING</x:v>
      </x:c>
      <x:c r="Q9" s="20" t="str"/>
      <x:c r="R9" s="20" t="str">
        <x:v>[]</x:v>
      </x:c>
      <x:c r="S9" s="20" t="str"/>
      <x:c r="T9" s="20" t="str">
        <x:v>Reported segregating biallelic/dominant or confirmed de novo genotypes consistent with the target phenotype; source-specific details in cited primary studies.</x:v>
      </x:c>
      <x:c r="U9" s="20" t="str">
        <x:v>PENDING: record case-specific inheritance, segregating variants and source location</x:v>
      </x:c>
    </x:row>
    <x:row r="10" ht="130" customHeight="1">
      <x:c r="A10" s="20" t="str">
        <x:v>CREB3</x:v>
      </x:c>
      <x:c r="B10" s="20" t="str">
        <x:v>HGNC:2347</x:v>
      </x:c>
      <x:c r="C10" s="20" t="str">
        <x:v>A</x:v>
      </x:c>
      <x:c r="D10" s="20" t="str">
        <x:v>2024-05</x:v>
      </x:c>
      <x:c r="E10" s="20" t="str">
        <x:v>["2024-05-01", "2025-07-17"]</x:v>
      </x:c>
      <x:c r="F10" s="20" t="str">
        <x:v>["retinal"]</x:v>
      </x:c>
      <x:c r="G10" s="20" t="str">
        <x:v>2</x:v>
      </x:c>
      <x:c r="H10" s="20" t="str">
        <x:v>["40674075"]</x:v>
      </x:c>
      <x:c r="I10" s="20" t="str">
        <x:v>["MED:40674075"]</x:v>
      </x:c>
      <x:c r="J10" s="20" t="str">
        <x:v>Thirteen retinal cases in four unrelated families; founder nonsense variant produces truncated protein in patient fibroblasts.</x:v>
      </x:c>
      <x:c r="K10" s="20" t="str">
        <x:v>Thirteen retinal cases in four unrelated families; founder nonsense variant produces truncated protein in patient fibroblasts.</x:v>
      </x:c>
      <x:c r="L10" s="20" t="str">
        <x:v>Thirteen retinal cases in four unrelated families; founder nonsense variant produces truncated protein in patient fibroblasts.</x:v>
      </x:c>
      <x:c r="M10" s="20" t="str"/>
      <x:c r="N10" s="20" t="str"/>
      <x:c r="O10" s="20" t="str">
        <x:v>PENDING</x:v>
      </x:c>
      <x:c r="P10" s="20" t="str">
        <x:v>PENDING</x:v>
      </x:c>
      <x:c r="Q10" s="20" t="str"/>
      <x:c r="R10" s="20" t="str">
        <x:v>[]</x:v>
      </x:c>
      <x:c r="S10" s="20" t="str"/>
      <x:c r="T10" s="20" t="str">
        <x:v>Reported segregating biallelic/dominant or confirmed de novo genotypes consistent with the target phenotype; source-specific details in cited primary studies.</x:v>
      </x:c>
      <x:c r="U10" s="20" t="str">
        <x:v>PENDING: record case-specific inheritance, segregating variants and source location</x:v>
      </x:c>
    </x:row>
    <x:row r="11" ht="130" customHeight="1">
      <x:c r="A11" s="20" t="str">
        <x:v>CRLS1</x:v>
      </x:c>
      <x:c r="B11" s="20" t="str">
        <x:v>HGNC:16148</x:v>
      </x:c>
      <x:c r="C11" s="20" t="str">
        <x:v>A</x:v>
      </x:c>
      <x:c r="D11" s="20" t="str">
        <x:v>2022-02-11</x:v>
      </x:c>
      <x:c r="E11" s="20" t="str">
        <x:v>["2022-01-01", "2022-02-11"]</x:v>
      </x:c>
      <x:c r="F11" s="20" t="str">
        <x:v>["hearing", "retinal"]</x:v>
      </x:c>
      <x:c r="G11" s="20" t="str">
        <x:v>3</x:v>
      </x:c>
      <x:c r="H11" s="20" t="str">
        <x:v>["35147173"]</x:v>
      </x:c>
      <x:c r="I11" s="20" t="str">
        <x:v>["MED:35147173"]</x:v>
      </x:c>
      <x:c r="J11" s="20" t="str">
        <x:v>Four individuals including siblings; auditory neuropathy and retinal maculopathy, cardiolipin/mitochondrial functional assays. Earlier C20orf7 paper is a different causal gene, not automatically prior CRLS1 disease.</x:v>
      </x:c>
      <x:c r="K11" s="20" t="str">
        <x:v>Four individuals including siblings; auditory neuropathy and retinal maculopathy, cardiolipin/mitochondrial functional assays. Earlier C20orf7 paper is a different causal gene, not automatically prior CRLS1 disease.</x:v>
      </x:c>
      <x:c r="L11" s="20" t="str">
        <x:v>Four individuals including siblings; auditory neuropathy and retinal maculopathy, cardiolipin/mitochondrial functional assays. Earlier C20orf7 paper is a different causal gene, not automatically prior CRLS1 disease.</x:v>
      </x:c>
      <x:c r="M11" s="20" t="str"/>
      <x:c r="N11" s="20" t="str"/>
      <x:c r="O11" s="20" t="str">
        <x:v>PENDING</x:v>
      </x:c>
      <x:c r="P11" s="20" t="str">
        <x:v>PENDING</x:v>
      </x:c>
      <x:c r="Q11" s="20" t="str"/>
      <x:c r="R11" s="20" t="str">
        <x:v>[]</x:v>
      </x:c>
      <x:c r="S11" s="20" t="str"/>
      <x:c r="T11" s="20" t="str">
        <x:v>Reported segregating biallelic/dominant or confirmed de novo genotypes consistent with the target phenotype; source-specific details in cited primary studies.</x:v>
      </x:c>
      <x:c r="U11" s="20" t="str">
        <x:v>PENDING: record case-specific inheritance, segregating variants and source location</x:v>
      </x:c>
    </x:row>
    <x:row r="12" ht="130" customHeight="1">
      <x:c r="A12" s="20" t="str">
        <x:v>CTNND1</x:v>
      </x:c>
      <x:c r="B12" s="20" t="str">
        <x:v>HGNC:2515</x:v>
      </x:c>
      <x:c r="C12" s="20" t="str">
        <x:v>B</x:v>
      </x:c>
      <x:c r="D12" s="20" t="str">
        <x:v>2022-06-14</x:v>
      </x:c>
      <x:c r="E12" s="20" t="str">
        <x:v>["2022-01-01", "2022-06-14"]</x:v>
      </x:c>
      <x:c r="F12" s="20" t="str">
        <x:v>["retinal"]</x:v>
      </x:c>
      <x:c r="G12" s="20" t="str">
        <x:v>2</x:v>
      </x:c>
      <x:c r="H12" s="20" t="str">
        <x:v>["35700046"]</x:v>
      </x:c>
      <x:c r="I12" s="20" t="str">
        <x:v>["MED:35700046"]</x:v>
      </x:c>
      <x:c r="J12" s="20" t="str">
        <x:v>Three FEVR variant probands, variant/cadherin/Wnt and mouse vascular assays; earlier non-target developmental disease needs explicit reference/date.</x:v>
      </x:c>
      <x:c r="K12" s="20" t="str">
        <x:v>Three FEVR variant probands, variant/cadherin/Wnt and mouse vascular assays; earlier non-target developmental disease needs explicit reference/date.</x:v>
      </x:c>
      <x:c r="L12" s="20" t="str">
        <x:v>Three FEVR variant probands, variant/cadherin/Wnt and mouse vascular assays; earlier non-target developmental disease needs explicit reference/date.</x:v>
      </x:c>
      <x:c r="M12" s="20" t="str"/>
      <x:c r="N12" s="20" t="str"/>
      <x:c r="O12" s="20" t="str">
        <x:v>PENDING</x:v>
      </x:c>
      <x:c r="P12" s="20" t="str">
        <x:v>PENDING</x:v>
      </x:c>
      <x:c r="Q12" s="20" t="str"/>
      <x:c r="R12" s="20" t="str">
        <x:v>[]</x:v>
      </x:c>
      <x:c r="S12" s="20" t="str"/>
      <x:c r="T12" s="20" t="str">
        <x:v>Reported segregating biallelic/dominant or confirmed de novo genotypes consistent with the target phenotype; source-specific details in cited primary studies.</x:v>
      </x:c>
      <x:c r="U12" s="20" t="str">
        <x:v>PENDING: record case-specific inheritance, segregating variants and source location</x:v>
      </x:c>
    </x:row>
    <x:row r="13" ht="130" customHeight="1">
      <x:c r="A13" s="20" t="str">
        <x:v>DHRSX</x:v>
      </x:c>
      <x:c r="B13" s="20" t="str">
        <x:v>HGNC:18399</x:v>
      </x:c>
      <x:c r="C13" s="20" t="str">
        <x:v>A</x:v>
      </x:c>
      <x:c r="D13" s="20" t="str">
        <x:v>2024-05-30</x:v>
      </x:c>
      <x:c r="E13" s="20" t="str">
        <x:v>["2024-01-01", "2024-05-30"]</x:v>
      </x:c>
      <x:c r="F13" s="20" t="str">
        <x:v>["hearing"]</x:v>
      </x:c>
      <x:c r="G13" s="20" t="str">
        <x:v>2</x:v>
      </x:c>
      <x:c r="H13" s="20" t="str">
        <x:v>["38821050"]</x:v>
      </x:c>
      <x:c r="I13" s="20" t="str">
        <x:v>["MED:38821050"]</x:v>
      </x:c>
      <x:c r="J13" s="20" t="str">
        <x:v>JATS results document four people from three families, sensorineural hearing loss and dolichol synthesis/glycosylation defect.</x:v>
      </x:c>
      <x:c r="K13" s="20" t="str">
        <x:v>JATS results document four people from three families, sensorineural hearing loss and dolichol synthesis/glycosylation defect.</x:v>
      </x:c>
      <x:c r="L13" s="20" t="str">
        <x:v>JATS results document four people from three families, sensorineural hearing loss and dolichol synthesis/glycosylation defect.</x:v>
      </x:c>
      <x:c r="M13" s="20" t="str"/>
      <x:c r="N13" s="20" t="str"/>
      <x:c r="O13" s="20" t="str">
        <x:v>PENDING</x:v>
      </x:c>
      <x:c r="P13" s="20" t="str">
        <x:v>PENDING</x:v>
      </x:c>
      <x:c r="Q13" s="20" t="str"/>
      <x:c r="R13" s="20" t="str">
        <x:v>[]</x:v>
      </x:c>
      <x:c r="S13" s="20" t="str"/>
      <x:c r="T13" s="20" t="str">
        <x:v>Reported segregating biallelic/dominant or confirmed de novo genotypes consistent with the target phenotype; source-specific details in cited primary studies.</x:v>
      </x:c>
      <x:c r="U13" s="20" t="str">
        <x:v>PENDING: record case-specific inheritance, segregating variants and source location</x:v>
      </x:c>
    </x:row>
    <x:row r="14" ht="130" customHeight="1">
      <x:c r="A14" s="20" t="str">
        <x:v>DNAJC30</x:v>
      </x:c>
      <x:c r="B14" s="20" t="str">
        <x:v>HGNC:16410</x:v>
      </x:c>
      <x:c r="C14" s="20" t="str">
        <x:v>A</x:v>
      </x:c>
      <x:c r="D14" s="20" t="str">
        <x:v>2021-01-19</x:v>
      </x:c>
      <x:c r="E14" s="20" t="str">
        <x:v>["2021-01-01", "2021-01-19"]</x:v>
      </x:c>
      <x:c r="F14" s="20" t="str">
        <x:v>["optic"]</x:v>
      </x:c>
      <x:c r="G14" s="20" t="str">
        <x:v>2</x:v>
      </x:c>
      <x:c r="H14" s="20" t="str">
        <x:v>["33465056"]</x:v>
      </x:c>
      <x:c r="I14" s="20" t="str">
        <x:v>["MED:33465056"]</x:v>
      </x:c>
      <x:c r="J14" s="20" t="str">
        <x:v>Recessive LHON in 29 families; complex I repair defect and rescue.</x:v>
      </x:c>
      <x:c r="K14" s="20" t="str">
        <x:v>Recessive LHON in 29 families; complex I repair defect and rescue.</x:v>
      </x:c>
      <x:c r="L14" s="20" t="str">
        <x:v>Recessive LHON in 29 families; complex I repair defect and rescue.</x:v>
      </x:c>
      <x:c r="M14" s="20" t="str"/>
      <x:c r="N14" s="20" t="str"/>
      <x:c r="O14" s="20" t="str">
        <x:v>PENDING</x:v>
      </x:c>
      <x:c r="P14" s="20" t="str">
        <x:v>PENDING</x:v>
      </x:c>
      <x:c r="Q14" s="20" t="str"/>
      <x:c r="R14" s="20" t="str">
        <x:v>[]</x:v>
      </x:c>
      <x:c r="S14" s="20" t="str"/>
      <x:c r="T14" s="20" t="str">
        <x:v>Reported segregating biallelic/dominant or confirmed de novo genotypes consistent with the target phenotype; source-specific details in cited primary studies.</x:v>
      </x:c>
      <x:c r="U14" s="20" t="str">
        <x:v>PENDING: record case-specific inheritance, segregating variants and source location</x:v>
      </x:c>
    </x:row>
    <x:row r="15" ht="130" customHeight="1">
      <x:c r="A15" s="20" t="str">
        <x:v>EFCAB1</x:v>
      </x:c>
      <x:c r="B15" s="20" t="str">
        <x:v>HGNC:25678</x:v>
      </x:c>
      <x:c r="C15" s="20" t="str">
        <x:v>A</x:v>
      </x:c>
      <x:c r="D15" s="20" t="str">
        <x:v>2023-01-31</x:v>
      </x:c>
      <x:c r="E15" s="20" t="str">
        <x:v>["2023-01-01", "2023-01-31"]</x:v>
      </x:c>
      <x:c r="F15" s="20" t="str">
        <x:v>["motile_cilia"]</x:v>
      </x:c>
      <x:c r="G15" s="20" t="str">
        <x:v>2</x:v>
      </x:c>
      <x:c r="H15" s="20" t="str">
        <x:v>["36727596"]</x:v>
      </x:c>
      <x:c r="I15" s="20" t="str">
        <x:v>["MED:36727596"]</x:v>
      </x:c>
      <x:c r="J15" s="20" t="str">
        <x:v>CLXN/ODAD5: three unrelated families with three distinct homozygous variants per PanelApp curation of primary report; ODA defects and functional planaria/animal evidence.</x:v>
      </x:c>
      <x:c r="K15" s="20" t="str">
        <x:v>CLXN/ODAD5: three unrelated families with three distinct homozygous variants per PanelApp curation of primary report; ODA defects and functional planaria/animal evidence.</x:v>
      </x:c>
      <x:c r="L15" s="20" t="str">
        <x:v>CLXN/ODAD5: three unrelated families with three distinct homozygous variants per PanelApp curation of primary report; ODA defects and functional planaria/animal evidence.</x:v>
      </x:c>
      <x:c r="M15" s="20" t="str"/>
      <x:c r="N15" s="20" t="str"/>
      <x:c r="O15" s="20" t="str">
        <x:v>PENDING</x:v>
      </x:c>
      <x:c r="P15" s="20" t="str">
        <x:v>PENDING</x:v>
      </x:c>
      <x:c r="Q15" s="20" t="str"/>
      <x:c r="R15" s="20" t="str">
        <x:v>[]</x:v>
      </x:c>
      <x:c r="S15" s="20" t="str"/>
      <x:c r="T15" s="20" t="str">
        <x:v>Reported segregating biallelic/dominant or confirmed de novo genotypes consistent with the target phenotype; source-specific details in cited primary studies.</x:v>
      </x:c>
      <x:c r="U15" s="20" t="str">
        <x:v>PENDING: record case-specific inheritance, segregating variants and source location</x:v>
      </x:c>
    </x:row>
    <x:row r="16" ht="130" customHeight="1">
      <x:c r="A16" s="20" t="str">
        <x:v>FSD1L</x:v>
      </x:c>
      <x:c r="B16" s="20" t="str">
        <x:v>HGNC:13753</x:v>
      </x:c>
      <x:c r="C16" s="20" t="str">
        <x:v>A</x:v>
      </x:c>
      <x:c r="D16" s="20" t="str">
        <x:v>2026-02-19</x:v>
      </x:c>
      <x:c r="E16" s="20" t="str">
        <x:v>["2026-01-01", "2026-02-19"]</x:v>
      </x:c>
      <x:c r="F16" s="20" t="str">
        <x:v>["retinal"]</x:v>
      </x:c>
      <x:c r="G16" s="20" t="str">
        <x:v>2</x:v>
      </x:c>
      <x:c r="H16" s="20" t="str">
        <x:v>["41720098", "41720099"]</x:v>
      </x:c>
      <x:c r="I16" s="20" t="str">
        <x:v>["MED:41720098", "MED:41720099"]</x:v>
      </x:c>
      <x:c r="J16" s="20" t="str">
        <x:v>Retinal paper has six affected individuals from four families; splice assays and retina axoneme localization, companion neurodevelopmental/cilia functional report same public date.</x:v>
      </x:c>
      <x:c r="K16" s="20" t="str">
        <x:v>Retinal paper has six affected individuals from four families; splice assays and retina axoneme localization, companion neurodevelopmental/cilia functional report same public date.</x:v>
      </x:c>
      <x:c r="L16" s="20" t="str">
        <x:v>Retinal paper has six affected individuals from four families; splice assays and retina axoneme localization, companion neurodevelopmental/cilia functional report same public date.</x:v>
      </x:c>
      <x:c r="M16" s="20" t="str"/>
      <x:c r="N16" s="20" t="str"/>
      <x:c r="O16" s="20" t="str">
        <x:v>PENDING</x:v>
      </x:c>
      <x:c r="P16" s="20" t="str">
        <x:v>PENDING</x:v>
      </x:c>
      <x:c r="Q16" s="20" t="str"/>
      <x:c r="R16" s="20" t="str">
        <x:v>[]</x:v>
      </x:c>
      <x:c r="S16" s="20" t="str"/>
      <x:c r="T16" s="20" t="str">
        <x:v>Reported segregating biallelic/dominant or confirmed de novo genotypes consistent with the target phenotype; source-specific details in cited primary studies.</x:v>
      </x:c>
      <x:c r="U16" s="20" t="str">
        <x:v>PENDING: record case-specific inheritance, segregating variants and source location</x:v>
      </x:c>
    </x:row>
    <x:row r="17" ht="130" customHeight="1">
      <x:c r="A17" s="20" t="str">
        <x:v>GPATCH11</x:v>
      </x:c>
      <x:c r="B17" s="20" t="str">
        <x:v>HGNC:26768</x:v>
      </x:c>
      <x:c r="C17" s="20" t="str">
        <x:v>A</x:v>
      </x:c>
      <x:c r="D17" s="20" t="str">
        <x:v>2023-08-21</x:v>
      </x:c>
      <x:c r="E17" s="20" t="str">
        <x:v>["2023-01-01", "2023-08-21"]</x:v>
      </x:c>
      <x:c r="F17" s="20" t="str">
        <x:v>["retinal"]</x:v>
      </x:c>
      <x:c r="G17" s="20" t="str">
        <x:v>3</x:v>
      </x:c>
      <x:c r="H17" s="20" t="str">
        <x:v>["39572588"]</x:v>
      </x:c>
      <x:c r="I17" s="20" t="str">
        <x:v>["MED:39572588"]</x:v>
      </x:c>
      <x:c r="J17" s="20" t="str">
        <x:v>JATS documents six unrelated families, retinal dystrophy, patient splice defect and matching mouse phenotype. First located preprint PPR705483 2023-08-21, not 2024 journal date.</x:v>
      </x:c>
      <x:c r="K17" s="20" t="str">
        <x:v>JATS documents six unrelated families, retinal dystrophy, patient splice defect and matching mouse phenotype. First located preprint PPR705483 2023-08-21, not 2024 journal date.</x:v>
      </x:c>
      <x:c r="L17" s="20" t="str">
        <x:v>JATS documents six unrelated families, retinal dystrophy, patient splice defect and matching mouse phenotype. First located preprint PPR705483 2023-08-21, not 2024 journal date.</x:v>
      </x:c>
      <x:c r="M17" s="20" t="str"/>
      <x:c r="N17" s="20" t="str"/>
      <x:c r="O17" s="20" t="str">
        <x:v>PENDING</x:v>
      </x:c>
      <x:c r="P17" s="20" t="str">
        <x:v>PENDING</x:v>
      </x:c>
      <x:c r="Q17" s="20" t="str"/>
      <x:c r="R17" s="20" t="str">
        <x:v>[]</x:v>
      </x:c>
      <x:c r="S17" s="20" t="str"/>
      <x:c r="T17" s="20" t="str">
        <x:v>Reported segregating biallelic/dominant or confirmed de novo genotypes consistent with the target phenotype; source-specific details in cited primary studies.</x:v>
      </x:c>
      <x:c r="U17" s="20" t="str">
        <x:v>PENDING: record case-specific inheritance, segregating variants and source location</x:v>
      </x:c>
    </x:row>
    <x:row r="18" ht="130" customHeight="1">
      <x:c r="A18" s="20" t="str">
        <x:v>GPR156</x:v>
      </x:c>
      <x:c r="B18" s="20" t="str">
        <x:v>HGNC:20844</x:v>
      </x:c>
      <x:c r="C18" s="20" t="str">
        <x:v>A</x:v>
      </x:c>
      <x:c r="D18" s="20" t="str">
        <x:v>2023-03-16</x:v>
      </x:c>
      <x:c r="E18" s="20" t="str">
        <x:v>["2023-01-01", "2023-03-16"]</x:v>
      </x:c>
      <x:c r="F18" s="20" t="str">
        <x:v>["hearing"]</x:v>
      </x:c>
      <x:c r="G18" s="20" t="str">
        <x:v>2</x:v>
      </x:c>
      <x:c r="H18" s="20" t="str">
        <x:v>["36928819"]</x:v>
      </x:c>
      <x:c r="I18" s="20" t="str">
        <x:v>["MED:36928819"]</x:v>
      </x:c>
      <x:c r="J18" s="20" t="str">
        <x:v>JATS GPR156 section documents eight affected individuals in three pedigrees; truncating variants and receptor dysfunction assays.</x:v>
      </x:c>
      <x:c r="K18" s="20" t="str">
        <x:v>JATS GPR156 section documents eight affected individuals in three pedigrees; truncating variants and receptor dysfunction assays.</x:v>
      </x:c>
      <x:c r="L18" s="20" t="str">
        <x:v>JATS GPR156 section documents eight affected individuals in three pedigrees; truncating variants and receptor dysfunction assays.</x:v>
      </x:c>
      <x:c r="M18" s="20" t="str"/>
      <x:c r="N18" s="20" t="str"/>
      <x:c r="O18" s="20" t="str">
        <x:v>PENDING</x:v>
      </x:c>
      <x:c r="P18" s="20" t="str">
        <x:v>PENDING</x:v>
      </x:c>
      <x:c r="Q18" s="20" t="str"/>
      <x:c r="R18" s="20" t="str">
        <x:v>[]</x:v>
      </x:c>
      <x:c r="S18" s="20" t="str"/>
      <x:c r="T18" s="20" t="str">
        <x:v>Reported segregating biallelic/dominant or confirmed de novo genotypes consistent with the target phenotype; source-specific details in cited primary studies.</x:v>
      </x:c>
      <x:c r="U18" s="20" t="str">
        <x:v>PENDING: record case-specific inheritance, segregating variants and source location</x:v>
      </x:c>
    </x:row>
    <x:row r="19" ht="130" customHeight="1">
      <x:c r="A19" s="20" t="str">
        <x:v>IDH3G</x:v>
      </x:c>
      <x:c r="B19" s="20" t="str">
        <x:v>HGNC:5386</x:v>
      </x:c>
      <x:c r="C19" s="20" t="str">
        <x:v>A</x:v>
      </x:c>
      <x:c r="D19" s="20" t="str">
        <x:v>2025-03-19</x:v>
      </x:c>
      <x:c r="E19" s="20" t="str">
        <x:v>["2025-01-01", "2025-03-19"]</x:v>
      </x:c>
      <x:c r="F19" s="20" t="str">
        <x:v>["retinal"]</x:v>
      </x:c>
      <x:c r="G19" s="20" t="str">
        <x:v>2</x:v>
      </x:c>
      <x:c r="H19" s="20" t="str">
        <x:v>["40119724"]</x:v>
      </x:c>
      <x:c r="I19" s="20" t="str">
        <x:v>["MED:40119724"]</x:v>
      </x:c>
      <x:c r="J19" s="20" t="str">
        <x:v>Five unrelated men; segregation of variants/deletion with RP and mitochondrial/protein assays.</x:v>
      </x:c>
      <x:c r="K19" s="20" t="str">
        <x:v>Five unrelated men; segregation of variants/deletion with RP and mitochondrial/protein assays.</x:v>
      </x:c>
      <x:c r="L19" s="20" t="str">
        <x:v>Five unrelated men; segregation of variants/deletion with RP and mitochondrial/protein assays.</x:v>
      </x:c>
      <x:c r="M19" s="20" t="str"/>
      <x:c r="N19" s="20" t="str"/>
      <x:c r="O19" s="20" t="str">
        <x:v>PENDING</x:v>
      </x:c>
      <x:c r="P19" s="20" t="str">
        <x:v>PENDING</x:v>
      </x:c>
      <x:c r="Q19" s="20" t="str"/>
      <x:c r="R19" s="20" t="str">
        <x:v>[]</x:v>
      </x:c>
      <x:c r="S19" s="20" t="str"/>
      <x:c r="T19" s="20" t="str">
        <x:v>Reported segregating biallelic/dominant or confirmed de novo genotypes consistent with the target phenotype; source-specific details in cited primary studies.</x:v>
      </x:c>
      <x:c r="U19" s="20" t="str">
        <x:v>PENDING: record case-specific inheritance, segregating variants and source location</x:v>
      </x:c>
    </x:row>
    <x:row r="20" ht="130" customHeight="1">
      <x:c r="A20" s="20" t="str">
        <x:v>INTS11</x:v>
      </x:c>
      <x:c r="B20" s="20" t="str">
        <x:v>HGNC:26052</x:v>
      </x:c>
      <x:c r="C20" s="20" t="str">
        <x:v>A</x:v>
      </x:c>
      <x:c r="D20" s="20" t="str">
        <x:v>2023-04-12</x:v>
      </x:c>
      <x:c r="E20" s="20" t="str">
        <x:v>["2023-01-01", "2023-04-12"]</x:v>
      </x:c>
      <x:c r="F20" s="20" t="str">
        <x:v>["retinal"]</x:v>
      </x:c>
      <x:c r="G20" s="20" t="str">
        <x:v>2</x:v>
      </x:c>
      <x:c r="H20" s="20" t="str">
        <x:v>["37054711", "37980560", "41810893"]</x:v>
      </x:c>
      <x:c r="I20" s="20" t="str">
        <x:v>["MED:37054711", "MED:37980560", "MED:41810893"]</x:v>
      </x:c>
      <x:c r="J20" s="20" t="str">
        <x:v>First germline neurological report in 2023 already noted retinal dystrophy in one family; 2026 independent family gives two retinal families with detailed electrophysiology. Variant-specific catalytic/mitotic assays in 2023. First target and stronger-target dates separate; post-cutoff maturation within holdout does not exclude genewise novel-target case.</x:v>
      </x:c>
      <x:c r="K20" s="20" t="str">
        <x:v>First germline neurological report in 2023 already noted retinal dystrophy in one family; 2026 independent family gives two retinal families with detailed electrophysiology. Variant-specific catalytic/mitotic assays in 2023. First target and stronger-target dates separate; post-cutoff maturation within holdout does not exclude genewise novel-target case.</x:v>
      </x:c>
      <x:c r="L20" s="20" t="str">
        <x:v>First germline neurological report in 2023 already noted retinal dystrophy in one family; 2026 independent family gives two retinal families with detailed electrophysiology. Variant-specific catalytic/mitotic assays in 2023. First target and stronger-target dates separate; post-cutoff maturation within holdout does not exclude genewise novel-target case.</x:v>
      </x:c>
      <x:c r="M20" s="20" t="str"/>
      <x:c r="N20" s="20" t="str"/>
      <x:c r="O20" s="20" t="str">
        <x:v>PENDING</x:v>
      </x:c>
      <x:c r="P20" s="20" t="str">
        <x:v>PENDING</x:v>
      </x:c>
      <x:c r="Q20" s="20" t="str"/>
      <x:c r="R20" s="20" t="str">
        <x:v>[]</x:v>
      </x:c>
      <x:c r="S20" s="20" t="str"/>
      <x:c r="T20" s="20" t="str">
        <x:v>Reported segregating biallelic/dominant or confirmed de novo genotypes consistent with the target phenotype; source-specific details in cited primary studies.</x:v>
      </x:c>
      <x:c r="U20" s="20" t="str">
        <x:v>PENDING: record case-specific inheritance, segregating variants and source location</x:v>
      </x:c>
    </x:row>
    <x:row r="21" ht="130" customHeight="1">
      <x:c r="A21" s="20" t="str">
        <x:v>KCNJ16</x:v>
      </x:c>
      <x:c r="B21" s="20" t="str">
        <x:v>HGNC:6262</x:v>
      </x:c>
      <x:c r="C21" s="20" t="str">
        <x:v>A</x:v>
      </x:c>
      <x:c r="D21" s="20" t="str">
        <x:v>2021-04-02</x:v>
      </x:c>
      <x:c r="E21" s="20" t="str">
        <x:v>["2021-01-01", "2021-04-02"]</x:v>
      </x:c>
      <x:c r="F21" s="20" t="str">
        <x:v>["hearing"]</x:v>
      </x:c>
      <x:c r="G21" s="20" t="str">
        <x:v>7</x:v>
      </x:c>
      <x:c r="H21" s="20" t="str">
        <x:v>["33811157", "33840812"]</x:v>
      </x:c>
      <x:c r="I21" s="20" t="str">
        <x:v>["MED:33811157", "MED:33840812"]</x:v>
      </x:c>
      <x:c r="J21" s="20" t="str">
        <x:v>Eight affected people and subsequent case; channel electrophysiology. Pre-2020 search hits concern causal KCNJ10, not KCNJ16.</x:v>
      </x:c>
      <x:c r="K21" s="20" t="str">
        <x:v>Eight affected people and subsequent case; channel electrophysiology. Pre-2020 search hits concern causal KCNJ10, not KCNJ16.</x:v>
      </x:c>
      <x:c r="L21" s="20" t="str">
        <x:v>Eight affected people and subsequent case; channel electrophysiology. Pre-2020 search hits concern causal KCNJ10, not KCNJ16.</x:v>
      </x:c>
      <x:c r="M21" s="20" t="str"/>
      <x:c r="N21" s="20" t="str"/>
      <x:c r="O21" s="20" t="str">
        <x:v>PENDING</x:v>
      </x:c>
      <x:c r="P21" s="20" t="str">
        <x:v>PENDING</x:v>
      </x:c>
      <x:c r="Q21" s="20" t="str"/>
      <x:c r="R21" s="20" t="str">
        <x:v>[]</x:v>
      </x:c>
      <x:c r="S21" s="20" t="str"/>
      <x:c r="T21" s="20" t="str">
        <x:v>Reported segregating biallelic/dominant or confirmed de novo genotypes consistent with the target phenotype; source-specific details in cited primary studies.</x:v>
      </x:c>
      <x:c r="U21" s="20" t="str">
        <x:v>PENDING: record case-specific inheritance, segregating variants and source location</x:v>
      </x:c>
    </x:row>
    <x:row r="22" ht="130" customHeight="1">
      <x:c r="A22" s="20" t="str">
        <x:v>KIAA1024L</x:v>
      </x:c>
      <x:c r="B22" s="20" t="str">
        <x:v>HGNC:33914</x:v>
      </x:c>
      <x:c r="C22" s="20" t="str">
        <x:v>A</x:v>
      </x:c>
      <x:c r="D22" s="20" t="str">
        <x:v>2022-06-21</x:v>
      </x:c>
      <x:c r="E22" s="20" t="str">
        <x:v>["2022-01-01", "2022-06-21"]</x:v>
      </x:c>
      <x:c r="F22" s="20" t="str">
        <x:v>["hearing"]</x:v>
      </x:c>
      <x:c r="G22" s="20" t="str">
        <x:v>2</x:v>
      </x:c>
      <x:c r="H22" s="20" t="str">
        <x:v>["35727972"]</x:v>
      </x:c>
      <x:c r="I22" s="20" t="str">
        <x:v>["MED:35727972"]</x:v>
      </x:c>
      <x:c r="J22" s="20" t="str">
        <x:v>MINAR2: thirteen affected individuals in four unrelated families and animal hair-cell/function assays. The 2020 paper explicitly says minar2 had no human ortholog in its screened set; it does not report MINAR2 pathogenic human variants.</x:v>
      </x:c>
      <x:c r="K22" s="20" t="str">
        <x:v>MINAR2: thirteen affected individuals in four unrelated families and animal hair-cell/function assays. The 2020 paper explicitly says minar2 had no human ortholog in its screened set; it does not report MINAR2 pathogenic human variants.</x:v>
      </x:c>
      <x:c r="L22" s="20" t="str">
        <x:v>MINAR2: thirteen affected individuals in four unrelated families and animal hair-cell/function assays. The 2020 paper explicitly says minar2 had no human ortholog in its screened set; it does not report MINAR2 pathogenic human variants.</x:v>
      </x:c>
      <x:c r="M22" s="20" t="str"/>
      <x:c r="N22" s="20" t="str"/>
      <x:c r="O22" s="20" t="str">
        <x:v>PENDING</x:v>
      </x:c>
      <x:c r="P22" s="20" t="str">
        <x:v>PENDING</x:v>
      </x:c>
      <x:c r="Q22" s="20" t="str"/>
      <x:c r="R22" s="20" t="str">
        <x:v>[]</x:v>
      </x:c>
      <x:c r="S22" s="20" t="str"/>
      <x:c r="T22" s="20" t="str">
        <x:v>Reported segregating biallelic/dominant or confirmed de novo genotypes consistent with the target phenotype; source-specific details in cited primary studies.</x:v>
      </x:c>
      <x:c r="U22" s="20" t="str">
        <x:v>PENDING: record case-specific inheritance, segregating variants and source location</x:v>
      </x:c>
    </x:row>
    <x:row r="23" ht="130" customHeight="1">
      <x:c r="A23" s="20" t="str">
        <x:v>LIG3</x:v>
      </x:c>
      <x:c r="B23" s="20" t="str">
        <x:v>HGNC:6600</x:v>
      </x:c>
      <x:c r="C23" s="20" t="str">
        <x:v>A</x:v>
      </x:c>
      <x:c r="D23" s="20" t="str">
        <x:v>2021-04-15</x:v>
      </x:c>
      <x:c r="E23" s="20" t="str">
        <x:v>["2021-01-01", "2021-04-15"]</x:v>
      </x:c>
      <x:c r="F23" s="20" t="str">
        <x:v>["retinal", "hearing"]</x:v>
      </x:c>
      <x:c r="G23" s="20" t="str">
        <x:v>2</x:v>
      </x:c>
      <x:c r="H23" s="20" t="str">
        <x:v>["33855352"]</x:v>
      </x:c>
      <x:c r="I23" s="20" t="str">
        <x:v>["MED:33855352"]</x:v>
      </x:c>
      <x:c r="J23" s="20" t="str">
        <x:v>Original Bonora2021 Table1: macular degeneration in patients1-1/1-2/2-1/2-2 establishes two unrelated retinal families; patient3-2 also has hearing loss. Patient-cell ligase/mtDNA functional defects and zebrafish phenotype. Received/accepted2020 are not public dates.</x:v>
      </x:c>
      <x:c r="K23" s="20" t="str">
        <x:v>Original Bonora2021 Table1: macular degeneration in patients1-1/1-2/2-1/2-2 establishes two unrelated retinal families; patient3-2 also has hearing loss. Patient-cell ligase/mtDNA functional defects and zebrafish phenotype. Received/accepted2020 are not public dates.</x:v>
      </x:c>
      <x:c r="L23" s="20" t="str">
        <x:v>Original Bonora2021 Table1: macular degeneration in patients1-1/1-2/2-1/2-2 establishes two unrelated retinal families; patient3-2 also has hearing loss. Patient-cell ligase/mtDNA functional defects and zebrafish phenotype. Received/accepted2020 are not public dates.</x:v>
      </x:c>
      <x:c r="M23" s="20" t="str"/>
      <x:c r="N23" s="20" t="str"/>
      <x:c r="O23" s="20" t="str">
        <x:v>PENDING</x:v>
      </x:c>
      <x:c r="P23" s="20" t="str">
        <x:v>PENDING</x:v>
      </x:c>
      <x:c r="Q23" s="20" t="str"/>
      <x:c r="R23" s="20" t="str">
        <x:v>[]</x:v>
      </x:c>
      <x:c r="S23" s="20" t="str"/>
      <x:c r="T23" s="20" t="str">
        <x:v>Reported segregating biallelic/dominant or confirmed de novo genotypes consistent with the target phenotype; source-specific details in cited primary studies.</x:v>
      </x:c>
      <x:c r="U23" s="20" t="str">
        <x:v>PENDING: record case-specific inheritance, segregating variants and source location</x:v>
      </x:c>
    </x:row>
    <x:row r="24" ht="130" customHeight="1">
      <x:c r="A24" s="20" t="str">
        <x:v>MRPL49</x:v>
      </x:c>
      <x:c r="B24" s="20" t="str">
        <x:v>HGNC:1176</x:v>
      </x:c>
      <x:c r="C24" s="20" t="str">
        <x:v>A</x:v>
      </x:c>
      <x:c r="D24" s="20" t="str">
        <x:v>2024-10-11</x:v>
      </x:c>
      <x:c r="E24" s="20" t="str">
        <x:v>["2022-01-01", "2024-10-11"]</x:v>
      </x:c>
      <x:c r="F24" s="20" t="str">
        <x:v>["hearing", "retinal"]</x:v>
      </x:c>
      <x:c r="G24" s="20" t="str">
        <x:v>7</x:v>
      </x:c>
      <x:c r="H24" s="20" t="str">
        <x:v>["40043708"]</x:v>
      </x:c>
      <x:c r="I24" s="20" t="str">
        <x:v>["MED:40043708"]</x:v>
      </x:c>
      <x:c r="J24" s="20" t="str">
        <x:v>Nine families with hearing loss, leukodystrophy/ovarian insufficiency and retinal involvement; complexome/function support. PPR923018 posted 2024-10-11.</x:v>
      </x:c>
      <x:c r="K24" s="20" t="str">
        <x:v>Nine families with hearing loss, leukodystrophy/ovarian insufficiency and retinal involvement; complexome/function support. PPR923018 posted 2024-10-11.</x:v>
      </x:c>
      <x:c r="L24" s="20" t="str">
        <x:v>Nine families with hearing loss, leukodystrophy/ovarian insufficiency and retinal involvement; complexome/function support. PPR923018 posted 2024-10-11.</x:v>
      </x:c>
      <x:c r="M24" s="20" t="str"/>
      <x:c r="N24" s="20" t="str"/>
      <x:c r="O24" s="20" t="str">
        <x:v>PENDING</x:v>
      </x:c>
      <x:c r="P24" s="20" t="str">
        <x:v>PENDING</x:v>
      </x:c>
      <x:c r="Q24" s="20" t="str"/>
      <x:c r="R24" s="20" t="str">
        <x:v>[]</x:v>
      </x:c>
      <x:c r="S24" s="20" t="str"/>
      <x:c r="T24" s="20" t="str">
        <x:v>Reported segregating biallelic/dominant or confirmed de novo genotypes consistent with the target phenotype; source-specific details in cited primary studies.</x:v>
      </x:c>
      <x:c r="U24" s="20" t="str">
        <x:v>PENDING: record case-specific inheritance, segregating variants and source location</x:v>
      </x:c>
    </x:row>
    <x:row r="25" ht="130" customHeight="1">
      <x:c r="A25" s="20" t="str">
        <x:v>PDIA6</x:v>
      </x:c>
      <x:c r="B25" s="20" t="str">
        <x:v>HGNC:30168</x:v>
      </x:c>
      <x:c r="C25" s="20" t="str">
        <x:v>A</x:v>
      </x:c>
      <x:c r="D25" s="20" t="str">
        <x:v>2021-01-26</x:v>
      </x:c>
      <x:c r="E25" s="20" t="str">
        <x:v>["2021-01-01", "2021-01-26"]</x:v>
      </x:c>
      <x:c r="F25" s="20" t="str">
        <x:v>["primary_cilia"]</x:v>
      </x:c>
      <x:c r="G25" s="20" t="str">
        <x:v>2</x:v>
      </x:c>
      <x:c r="H25" s="20" t="str">
        <x:v>["33495992", "35856135", "40974269"]</x:v>
      </x:c>
      <x:c r="I25" s="20" t="str">
        <x:v>["MED:33495992", "MED:35856135", "MED:40974269"]</x:v>
      </x:c>
      <x:c r="J25" s="20" t="str">
        <x:v>Initial ATD/polycystic kidney case with loss-of-function support, independent second patient and later third report; gene depletion cilia assays in 2024.</x:v>
      </x:c>
      <x:c r="K25" s="20" t="str">
        <x:v>Initial ATD/polycystic kidney case with loss-of-function support, independent second patient and later third report; gene depletion cilia assays in 2024.</x:v>
      </x:c>
      <x:c r="L25" s="20" t="str">
        <x:v>Initial ATD/polycystic kidney case with loss-of-function support, independent second patient and later third report; gene depletion cilia assays in 2024.</x:v>
      </x:c>
      <x:c r="M25" s="20" t="str"/>
      <x:c r="N25" s="20" t="str"/>
      <x:c r="O25" s="20" t="str">
        <x:v>PENDING</x:v>
      </x:c>
      <x:c r="P25" s="20" t="str">
        <x:v>PENDING</x:v>
      </x:c>
      <x:c r="Q25" s="20" t="str"/>
      <x:c r="R25" s="20" t="str">
        <x:v>[]</x:v>
      </x:c>
      <x:c r="S25" s="20" t="str"/>
      <x:c r="T25" s="20" t="str">
        <x:v>Reported segregating biallelic/dominant or confirmed de novo genotypes consistent with the target phenotype; source-specific details in cited primary studies.</x:v>
      </x:c>
      <x:c r="U25" s="20" t="str">
        <x:v>PENDING: record case-specific inheritance, segregating variants and source location</x:v>
      </x:c>
    </x:row>
    <x:row r="26" ht="130" customHeight="1">
      <x:c r="A26" s="20" t="str">
        <x:v>PKHD1L1</x:v>
      </x:c>
      <x:c r="B26" s="20" t="str">
        <x:v>HGNC:20313</x:v>
      </x:c>
      <x:c r="C26" s="20" t="str">
        <x:v>A</x:v>
      </x:c>
      <x:c r="D26" s="20" t="str">
        <x:v>2023-10-09</x:v>
      </x:c>
      <x:c r="E26" s="20" t="str">
        <x:v>["2023-01-01", "2023-10-09"]</x:v>
      </x:c>
      <x:c r="F26" s="20" t="str">
        <x:v>["hearing"]</x:v>
      </x:c>
      <x:c r="G26" s="20" t="str">
        <x:v>2</x:v>
      </x:c>
      <x:c r="H26" s="20" t="str">
        <x:v>["38459354"]</x:v>
      </x:c>
      <x:c r="I26" s="20" t="str">
        <x:v>["MED:38459354"]</x:v>
      </x:c>
      <x:c r="J26" s="20" t="str">
        <x:v>Four recessive hearing families with splicing/protein support; PPR737916 posted 2023-10-09. Earlier diabetic retinopathy common-risk/candidate screen is not automatically Mendelian hearing association.</x:v>
      </x:c>
      <x:c r="K26" s="20" t="str">
        <x:v>Four recessive hearing families with splicing/protein support; PPR737916 posted 2023-10-09. Earlier diabetic retinopathy common-risk/candidate screen is not automatically Mendelian hearing association.</x:v>
      </x:c>
      <x:c r="L26" s="20" t="str">
        <x:v>Four recessive hearing families with splicing/protein support; PPR737916 posted 2023-10-09. Earlier diabetic retinopathy common-risk/candidate screen is not automatically Mendelian hearing association.</x:v>
      </x:c>
      <x:c r="M26" s="20" t="str"/>
      <x:c r="N26" s="20" t="str"/>
      <x:c r="O26" s="20" t="str">
        <x:v>PENDING</x:v>
      </x:c>
      <x:c r="P26" s="20" t="str">
        <x:v>PENDING</x:v>
      </x:c>
      <x:c r="Q26" s="20" t="str"/>
      <x:c r="R26" s="20" t="str">
        <x:v>[]</x:v>
      </x:c>
      <x:c r="S26" s="20" t="str"/>
      <x:c r="T26" s="20" t="str">
        <x:v>Reported segregating biallelic/dominant or confirmed de novo genotypes consistent with the target phenotype; source-specific details in cited primary studies.</x:v>
      </x:c>
      <x:c r="U26" s="20" t="str">
        <x:v>PENDING: record case-specific inheritance, segregating variants and source location</x:v>
      </x:c>
    </x:row>
    <x:row r="27" ht="130" customHeight="1">
      <x:c r="A27" s="20" t="str">
        <x:v>PLCG1</x:v>
      </x:c>
      <x:c r="B27" s="20" t="str">
        <x:v>HGNC:9065</x:v>
      </x:c>
      <x:c r="C27" s="20" t="str">
        <x:v>B</x:v>
      </x:c>
      <x:c r="D27" s="20" t="str">
        <x:v>2024-01-09</x:v>
      </x:c>
      <x:c r="E27" s="20" t="str">
        <x:v>["2024-01-01", "2024-01-09"]</x:v>
      </x:c>
      <x:c r="F27" s="20" t="str">
        <x:v>["hearing"]</x:v>
      </x:c>
      <x:c r="G27" s="20" t="str">
        <x:v>3</x:v>
      </x:c>
      <x:c r="H27" s="20" t="str">
        <x:v>["37422272", "40862571"]</x:v>
      </x:c>
      <x:c r="I27" s="20" t="str">
        <x:v>["MED:37422272", "MED:40862571"]</x:v>
      </x:c>
      <x:c r="J27" s="20" t="str">
        <x:v>Earlier germline immune disorder in 2023, later seven hearing/ocular cases plus variant-specific fly functional assays; 2024 preprint precedes 2025 publication.</x:v>
      </x:c>
      <x:c r="K27" s="20" t="str">
        <x:v>Earlier germline immune disorder in 2023, later seven hearing/ocular cases plus variant-specific fly functional assays; 2024 preprint precedes 2025 publication.</x:v>
      </x:c>
      <x:c r="L27" s="20" t="str">
        <x:v>Earlier germline immune disorder in 2023, later seven hearing/ocular cases plus variant-specific fly functional assays; 2024 preprint precedes 2025 publication.</x:v>
      </x:c>
      <x:c r="M27" s="20" t="str"/>
      <x:c r="N27" s="20" t="str"/>
      <x:c r="O27" s="20" t="str">
        <x:v>PENDING</x:v>
      </x:c>
      <x:c r="P27" s="20" t="str">
        <x:v>PENDING</x:v>
      </x:c>
      <x:c r="Q27" s="20" t="str"/>
      <x:c r="R27" s="20" t="str">
        <x:v>[]</x:v>
      </x:c>
      <x:c r="S27" s="20" t="str"/>
      <x:c r="T27" s="20" t="str">
        <x:v>Reported segregating biallelic/dominant or confirmed de novo genotypes consistent with the target phenotype; source-specific details in cited primary studies.</x:v>
      </x:c>
      <x:c r="U27" s="20" t="str">
        <x:v>PENDING: record case-specific inheritance, segregating variants and source location</x:v>
      </x:c>
    </x:row>
    <x:row r="28" ht="130" customHeight="1">
      <x:c r="A28" s="20" t="str">
        <x:v>PSKH1</x:v>
      </x:c>
      <x:c r="B28" s="20" t="str">
        <x:v>HGNC:9529</x:v>
      </x:c>
      <x:c r="C28" s="20" t="str">
        <x:v>A</x:v>
      </x:c>
      <x:c r="D28" s="20" t="str">
        <x:v>2024-08-09</x:v>
      </x:c>
      <x:c r="E28" s="20" t="str">
        <x:v>["2024-01-01", "2024-08-09"]</x:v>
      </x:c>
      <x:c r="F28" s="20" t="str">
        <x:v>["primary_cilia"]</x:v>
      </x:c>
      <x:c r="G28" s="20" t="str">
        <x:v>2</x:v>
      </x:c>
      <x:c r="H28" s="20" t="str">
        <x:v>["39132680"]</x:v>
      </x:c>
      <x:c r="I28" s="20" t="str">
        <x:v>["MED:39132680"]</x:v>
      </x:c>
      <x:c r="J28" s="20" t="str">
        <x:v>Four hepatorenal ciliopathy families; patient cilia, mutant mouse and variant kinase assays.</x:v>
      </x:c>
      <x:c r="K28" s="20" t="str">
        <x:v>Four hepatorenal ciliopathy families; patient cilia, mutant mouse and variant kinase assays.</x:v>
      </x:c>
      <x:c r="L28" s="20" t="str">
        <x:v>Four hepatorenal ciliopathy families; patient cilia, mutant mouse and variant kinase assays.</x:v>
      </x:c>
      <x:c r="M28" s="20" t="str"/>
      <x:c r="N28" s="20" t="str"/>
      <x:c r="O28" s="20" t="str">
        <x:v>PENDING</x:v>
      </x:c>
      <x:c r="P28" s="20" t="str">
        <x:v>PENDING</x:v>
      </x:c>
      <x:c r="Q28" s="20" t="str"/>
      <x:c r="R28" s="20" t="str">
        <x:v>[]</x:v>
      </x:c>
      <x:c r="S28" s="20" t="str"/>
      <x:c r="T28" s="20" t="str">
        <x:v>Reported segregating biallelic/dominant or confirmed de novo genotypes consistent with the target phenotype; source-specific details in cited primary studies.</x:v>
      </x:c>
      <x:c r="U28" s="20" t="str">
        <x:v>PENDING: record case-specific inheritance, segregating variants and source location</x:v>
      </x:c>
    </x:row>
    <x:row r="29" ht="130" customHeight="1">
      <x:c r="A29" s="20" t="str">
        <x:v>RFC4</x:v>
      </x:c>
      <x:c r="B29" s="20" t="str">
        <x:v>HGNC:9972</x:v>
      </x:c>
      <x:c r="C29" s="20" t="str">
        <x:v>A</x:v>
      </x:c>
      <x:c r="D29" s="20" t="str">
        <x:v>2024-08-05</x:v>
      </x:c>
      <x:c r="E29" s="20" t="str">
        <x:v>["2024-01-01", "2024-08-05"]</x:v>
      </x:c>
      <x:c r="F29" s="20" t="str">
        <x:v>["hearing"]</x:v>
      </x:c>
      <x:c r="G29" s="20" t="str">
        <x:v>2</x:v>
      </x:c>
      <x:c r="H29" s="20" t="str">
        <x:v>["39106866"]</x:v>
      </x:c>
      <x:c r="I29" s="20" t="str">
        <x:v>["MED:39106866"]</x:v>
      </x:c>
      <x:c r="J29" s="20" t="str">
        <x:v>Nine people from eight unrelated families per PanelApp primary-reference curation; RFC complex instability and variant assays.</x:v>
      </x:c>
      <x:c r="K29" s="20" t="str">
        <x:v>Nine people from eight unrelated families per PanelApp primary-reference curation; RFC complex instability and variant assays.</x:v>
      </x:c>
      <x:c r="L29" s="20" t="str">
        <x:v>Nine people from eight unrelated families per PanelApp primary-reference curation; RFC complex instability and variant assays.</x:v>
      </x:c>
      <x:c r="M29" s="20" t="str"/>
      <x:c r="N29" s="20" t="str"/>
      <x:c r="O29" s="20" t="str">
        <x:v>PENDING</x:v>
      </x:c>
      <x:c r="P29" s="20" t="str">
        <x:v>PENDING</x:v>
      </x:c>
      <x:c r="Q29" s="20" t="str"/>
      <x:c r="R29" s="20" t="str">
        <x:v>[]</x:v>
      </x:c>
      <x:c r="S29" s="20" t="str"/>
      <x:c r="T29" s="20" t="str">
        <x:v>Reported segregating biallelic/dominant or confirmed de novo genotypes consistent with the target phenotype; source-specific details in cited primary studies.</x:v>
      </x:c>
      <x:c r="U29" s="20" t="str">
        <x:v>PENDING: record case-specific inheritance, segregating variants and source location</x:v>
      </x:c>
    </x:row>
    <x:row r="30" ht="130" customHeight="1">
      <x:c r="A30" s="20" t="str">
        <x:v>RNF220</x:v>
      </x:c>
      <x:c r="B30" s="20" t="str">
        <x:v>HGNC:25552</x:v>
      </x:c>
      <x:c r="C30" s="20" t="str">
        <x:v>A</x:v>
      </x:c>
      <x:c r="D30" s="20" t="str">
        <x:v>2021-05-08</x:v>
      </x:c>
      <x:c r="E30" s="20" t="str">
        <x:v>["2021-01-01", "2021-05-08"]</x:v>
      </x:c>
      <x:c r="F30" s="20" t="str">
        <x:v>["hearing"]</x:v>
      </x:c>
      <x:c r="G30" s="20" t="str">
        <x:v>2</x:v>
      </x:c>
      <x:c r="H30" s="20" t="str">
        <x:v>["33964137"]</x:v>
      </x:c>
      <x:c r="I30" s="20" t="str">
        <x:v>["MED:33964137"]</x:v>
      </x:c>
      <x:c r="J30" s="20" t="str">
        <x:v>Original nine people in four Roma pedigrees plus one Italian family; shared Roma founder haplotype does not create four independent backgrounds. Independent Chinese report36083980 supports replication; variant lamin-binding assays.</x:v>
      </x:c>
      <x:c r="K30" s="20" t="str">
        <x:v>Original nine people in four Roma pedigrees plus one Italian family; shared Roma founder haplotype does not create four independent backgrounds. Independent Chinese report36083980 supports replication; variant lamin-binding assays.</x:v>
      </x:c>
      <x:c r="L30" s="20" t="str">
        <x:v>Original nine people in four Roma pedigrees plus one Italian family; shared Roma founder haplotype does not create four independent backgrounds. Independent Chinese report36083980 supports replication; variant lamin-binding assays.</x:v>
      </x:c>
      <x:c r="M30" s="20" t="str"/>
      <x:c r="N30" s="20" t="str"/>
      <x:c r="O30" s="20" t="str">
        <x:v>PENDING</x:v>
      </x:c>
      <x:c r="P30" s="20" t="str">
        <x:v>PENDING</x:v>
      </x:c>
      <x:c r="Q30" s="20" t="str"/>
      <x:c r="R30" s="20" t="str">
        <x:v>[]</x:v>
      </x:c>
      <x:c r="S30" s="20" t="str"/>
      <x:c r="T30" s="20" t="str">
        <x:v>Reported segregating biallelic/dominant or confirmed de novo genotypes consistent with the target phenotype; source-specific details in cited primary studies.</x:v>
      </x:c>
      <x:c r="U30" s="20" t="str">
        <x:v>PENDING: record case-specific inheritance, segregating variants and source location</x:v>
      </x:c>
    </x:row>
    <x:row r="31" ht="130" customHeight="1">
      <x:c r="A31" s="20" t="str">
        <x:v>RNU4-2</x:v>
      </x:c>
      <x:c r="B31" s="20" t="str">
        <x:v>HGNC:10193</x:v>
      </x:c>
      <x:c r="C31" s="20" t="str">
        <x:v>B</x:v>
      </x:c>
      <x:c r="D31" s="20" t="str">
        <x:v>2025-01-06</x:v>
      </x:c>
      <x:c r="E31" s="20" t="str">
        <x:v>["2025-01-01", "2025-01-06"]</x:v>
      </x:c>
      <x:c r="F31" s="20" t="str">
        <x:v>["retinal"]</x:v>
      </x:c>
      <x:c r="G31" s="20" t="str">
        <x:v>15</x:v>
      </x:c>
      <x:c r="H31" s="20" t="str">
        <x:v>["41513982"]</x:v>
      </x:c>
      <x:c r="I31" s="20" t="str">
        <x:v>["MED:41513982"]</x:v>
      </x:c>
      <x:c r="J31" s="20" t="str">
        <x:v>41 individuals from15 retinalfamilies; mutant RNA mechanistic assays. Prior2024 NDD association is non-target. Noncoding gene retained for end-to-end universe attrition.</x:v>
      </x:c>
      <x:c r="K31" s="20" t="str">
        <x:v>41 individuals from15 retinalfamilies; mutant RNA mechanistic assays. Prior2024 NDD association is non-target. Noncoding gene retained for end-to-end universe attrition.</x:v>
      </x:c>
      <x:c r="L31" s="20" t="str">
        <x:v>41 individuals from15 retinalfamilies; mutant RNA mechanistic assays. Prior2024 NDD association is non-target. Noncoding gene retained for end-to-end universe attrition.</x:v>
      </x:c>
      <x:c r="M31" s="20" t="str"/>
      <x:c r="N31" s="20" t="str"/>
      <x:c r="O31" s="20" t="str">
        <x:v>PENDING</x:v>
      </x:c>
      <x:c r="P31" s="20" t="str">
        <x:v>PENDING</x:v>
      </x:c>
      <x:c r="Q31" s="20" t="str"/>
      <x:c r="R31" s="20" t="str">
        <x:v>[]</x:v>
      </x:c>
      <x:c r="S31" s="20" t="str"/>
      <x:c r="T31" s="20" t="str">
        <x:v>Reported segregating biallelic/dominant or confirmed de novo genotypes consistent with the target phenotype; source-specific details in cited primary studies.</x:v>
      </x:c>
      <x:c r="U31" s="20" t="str">
        <x:v>PENDING: record case-specific inheritance, segregating variants and source location</x:v>
      </x:c>
    </x:row>
    <x:row r="32" ht="130" customHeight="1">
      <x:c r="A32" s="20" t="str">
        <x:v>RNU6-2</x:v>
      </x:c>
      <x:c r="B32" s="20" t="str">
        <x:v>HGNC:34270</x:v>
      </x:c>
      <x:c r="C32" s="20" t="str">
        <x:v>A</x:v>
      </x:c>
      <x:c r="D32" s="20" t="str">
        <x:v>2025-01-06</x:v>
      </x:c>
      <x:c r="E32" s="20" t="str">
        <x:v>["2025-01-01", "2025-01-06"]</x:v>
      </x:c>
      <x:c r="F32" s="20" t="str">
        <x:v>["retinal"]</x:v>
      </x:c>
      <x:c r="G32" s="20" t="str">
        <x:v>4</x:v>
      </x:c>
      <x:c r="H32" s="20" t="str">
        <x:v>["41513982"]</x:v>
      </x:c>
      <x:c r="I32" s="20" t="str">
        <x:v>["MED:41513982"]</x:v>
      </x:c>
      <x:c r="J32" s="20" t="str">
        <x:v>Original cohortfour retinalfamilies per gene and shared RNA mutant-mechanism experiments; noncoding universe attrition.</x:v>
      </x:c>
      <x:c r="K32" s="20" t="str">
        <x:v>Original cohortfour retinalfamilies per gene and shared RNA mutant-mechanism experiments; noncoding universe attrition.</x:v>
      </x:c>
      <x:c r="L32" s="20" t="str">
        <x:v>Original cohortfour retinalfamilies per gene and shared RNA mutant-mechanism experiments; noncoding universe attrition.</x:v>
      </x:c>
      <x:c r="M32" s="20" t="str"/>
      <x:c r="N32" s="20" t="str"/>
      <x:c r="O32" s="20" t="str">
        <x:v>PENDING</x:v>
      </x:c>
      <x:c r="P32" s="20" t="str">
        <x:v>PENDING</x:v>
      </x:c>
      <x:c r="Q32" s="20" t="str"/>
      <x:c r="R32" s="20" t="str">
        <x:v>[]</x:v>
      </x:c>
      <x:c r="S32" s="20" t="str"/>
      <x:c r="T32" s="20" t="str">
        <x:v>Reported segregating biallelic/dominant or confirmed de novo genotypes consistent with the target phenotype; source-specific details in cited primary studies.</x:v>
      </x:c>
      <x:c r="U32" s="20" t="str">
        <x:v>PENDING: record case-specific inheritance, segregating variants and source location</x:v>
      </x:c>
    </x:row>
    <x:row r="33" ht="130" customHeight="1">
      <x:c r="A33" s="20" t="str">
        <x:v>RNU6-8</x:v>
      </x:c>
      <x:c r="B33" s="20" t="str">
        <x:v>HGNC:34285</x:v>
      </x:c>
      <x:c r="C33" s="20" t="str">
        <x:v>A</x:v>
      </x:c>
      <x:c r="D33" s="20" t="str">
        <x:v>2025-01-06</x:v>
      </x:c>
      <x:c r="E33" s="20" t="str">
        <x:v>["2025-01-01", "2025-01-06"]</x:v>
      </x:c>
      <x:c r="F33" s="20" t="str">
        <x:v>["retinal"]</x:v>
      </x:c>
      <x:c r="G33" s="20" t="str">
        <x:v>4</x:v>
      </x:c>
      <x:c r="H33" s="20" t="str">
        <x:v>["41513982"]</x:v>
      </x:c>
      <x:c r="I33" s="20" t="str">
        <x:v>["MED:41513982"]</x:v>
      </x:c>
      <x:c r="J33" s="20" t="str">
        <x:v>Original cohortfour retinalfamilies per gene and shared RNA mutant-mechanism experiments; noncoding universe attrition.</x:v>
      </x:c>
      <x:c r="K33" s="20" t="str">
        <x:v>Original cohortfour retinalfamilies per gene and shared RNA mutant-mechanism experiments; noncoding universe attrition.</x:v>
      </x:c>
      <x:c r="L33" s="20" t="str">
        <x:v>Original cohortfour retinalfamilies per gene and shared RNA mutant-mechanism experiments; noncoding universe attrition.</x:v>
      </x:c>
      <x:c r="M33" s="20" t="str"/>
      <x:c r="N33" s="20" t="str"/>
      <x:c r="O33" s="20" t="str">
        <x:v>PENDING</x:v>
      </x:c>
      <x:c r="P33" s="20" t="str">
        <x:v>PENDING</x:v>
      </x:c>
      <x:c r="Q33" s="20" t="str"/>
      <x:c r="R33" s="20" t="str">
        <x:v>[]</x:v>
      </x:c>
      <x:c r="S33" s="20" t="str"/>
      <x:c r="T33" s="20" t="str">
        <x:v>Reported segregating biallelic/dominant or confirmed de novo genotypes consistent with the target phenotype; source-specific details in cited primary studies.</x:v>
      </x:c>
      <x:c r="U33" s="20" t="str">
        <x:v>PENDING: record case-specific inheritance, segregating variants and source location</x:v>
      </x:c>
    </x:row>
    <x:row r="34" ht="130" customHeight="1">
      <x:c r="A34" s="20" t="str">
        <x:v>RNU6-9</x:v>
      </x:c>
      <x:c r="B34" s="20" t="str">
        <x:v>HGNC:34269</x:v>
      </x:c>
      <x:c r="C34" s="20" t="str">
        <x:v>A</x:v>
      </x:c>
      <x:c r="D34" s="20" t="str">
        <x:v>2025-01-06</x:v>
      </x:c>
      <x:c r="E34" s="20" t="str">
        <x:v>["2025-01-01", "2025-01-06"]</x:v>
      </x:c>
      <x:c r="F34" s="20" t="str">
        <x:v>["retinal"]</x:v>
      </x:c>
      <x:c r="G34" s="20" t="str">
        <x:v>4</x:v>
      </x:c>
      <x:c r="H34" s="20" t="str">
        <x:v>["41513982"]</x:v>
      </x:c>
      <x:c r="I34" s="20" t="str">
        <x:v>["MED:41513982"]</x:v>
      </x:c>
      <x:c r="J34" s="20" t="str">
        <x:v>Original cohortfour retinalfamilies per gene and RNA mutant-mechanism experiments; noncoding universe attrition.</x:v>
      </x:c>
      <x:c r="K34" s="20" t="str">
        <x:v>Original cohortfour retinalfamilies per gene and RNA mutant-mechanism experiments; noncoding universe attrition.</x:v>
      </x:c>
      <x:c r="L34" s="20" t="str">
        <x:v>Original cohortfour retinalfamilies per gene and RNA mutant-mechanism experiments; noncoding universe attrition.</x:v>
      </x:c>
      <x:c r="M34" s="20" t="str"/>
      <x:c r="N34" s="20" t="str"/>
      <x:c r="O34" s="20" t="str">
        <x:v>PENDING</x:v>
      </x:c>
      <x:c r="P34" s="20" t="str">
        <x:v>PENDING</x:v>
      </x:c>
      <x:c r="Q34" s="20" t="str"/>
      <x:c r="R34" s="20" t="str">
        <x:v>[]</x:v>
      </x:c>
      <x:c r="S34" s="20" t="str"/>
      <x:c r="T34" s="20" t="str">
        <x:v>Reported segregating biallelic/dominant or confirmed de novo genotypes consistent with the target phenotype; source-specific details in cited primary studies.</x:v>
      </x:c>
      <x:c r="U34" s="20" t="str">
        <x:v>PENDING: record case-specific inheritance, segregating variants and source location</x:v>
      </x:c>
    </x:row>
    <x:row r="35" ht="130" customHeight="1">
      <x:c r="A35" s="20" t="str">
        <x:v>RSG1</x:v>
      </x:c>
      <x:c r="B35" s="20" t="str">
        <x:v>HGNC:28127</x:v>
      </x:c>
      <x:c r="C35" s="20" t="str">
        <x:v>A</x:v>
      </x:c>
      <x:c r="D35" s="20" t="str">
        <x:v>2024-09-26</x:v>
      </x:c>
      <x:c r="E35" s="20" t="str">
        <x:v>["2024-01-01", "2024-09-26"]</x:v>
      </x:c>
      <x:c r="F35" s="20" t="str">
        <x:v>["primary_cilia"]</x:v>
      </x:c>
      <x:c r="G35" s="20" t="str">
        <x:v>2</x:v>
      </x:c>
      <x:c r="H35" s="20" t="str">
        <x:v>["40593758"]</x:v>
      </x:c>
      <x:c r="I35" s="20" t="str">
        <x:v>["MED:40593758"]</x:v>
      </x:c>
      <x:c r="J35" s="20" t="str">
        <x:v>Three OFD families; variants disrupt basal-body docking/IFT recruitment and CPLANE/transition-zone architecture.</x:v>
      </x:c>
      <x:c r="K35" s="20" t="str">
        <x:v>Three OFD families; variants disrupt basal-body docking/IFT recruitment and CPLANE/transition-zone architecture.</x:v>
      </x:c>
      <x:c r="L35" s="20" t="str">
        <x:v>Three OFD families; variants disrupt basal-body docking/IFT recruitment and CPLANE/transition-zone architecture.</x:v>
      </x:c>
      <x:c r="M35" s="20" t="str"/>
      <x:c r="N35" s="20" t="str"/>
      <x:c r="O35" s="20" t="str">
        <x:v>PENDING</x:v>
      </x:c>
      <x:c r="P35" s="20" t="str">
        <x:v>PENDING</x:v>
      </x:c>
      <x:c r="Q35" s="20" t="str"/>
      <x:c r="R35" s="20" t="str">
        <x:v>[]</x:v>
      </x:c>
      <x:c r="S35" s="20" t="str"/>
      <x:c r="T35" s="20" t="str">
        <x:v>Reported segregating biallelic/dominant or confirmed de novo genotypes consistent with the target phenotype; source-specific details in cited primary studies.</x:v>
      </x:c>
      <x:c r="U35" s="20" t="str">
        <x:v>PENDING: record case-specific inheritance, segregating variants and source location</x:v>
      </x:c>
    </x:row>
    <x:row r="36" ht="130" customHeight="1">
      <x:c r="A36" s="20" t="str">
        <x:v>SAXO6</x:v>
      </x:c>
      <x:c r="B36" s="20" t="str">
        <x:v>HGNC:29917</x:v>
      </x:c>
      <x:c r="C36" s="20" t="str">
        <x:v>A</x:v>
      </x:c>
      <x:c r="D36" s="20" t="str">
        <x:v>2026-02-24</x:v>
      </x:c>
      <x:c r="E36" s="20" t="str">
        <x:v>["2026-01-01", "2026-02-24"]</x:v>
      </x:c>
      <x:c r="F36" s="20" t="str">
        <x:v>["retinal"]</x:v>
      </x:c>
      <x:c r="G36" s="20" t="str">
        <x:v>5</x:v>
      </x:c>
      <x:c r="H36" s="20" t="str">
        <x:v>["41742423"]</x:v>
      </x:c>
      <x:c r="I36" s="20" t="str">
        <x:v>["MED:41742423", "MED:18805803", "MED:36171205"]</x:v>
      </x:c>
      <x:c r="J36" s="20" t="str">
        <x:v>Clinical PMC13087473: six subjects/five families with six biallelic predicted-null variants. Earlier spontaneous Mdm1 nonsense and engineered knockout mice show retinal degeneration. Human healthy localization/protein interaction alone is not functional proof.</x:v>
      </x:c>
      <x:c r="K36" s="20" t="str">
        <x:v>Clinical PMC13087473: six subjects/five families with six biallelic predicted-null variants. Earlier spontaneous Mdm1 nonsense and engineered knockout mice show retinal degeneration. Human healthy localization/protein interaction alone is not functional proof.</x:v>
      </x:c>
      <x:c r="L36" s="20" t="str">
        <x:v>Clinical PMC13087473: six subjects/five families with six biallelic predicted-null variants. Earlier spontaneous Mdm1 nonsense and engineered knockout mice show retinal degeneration. Human healthy localization/protein interaction alone is not functional proof.</x:v>
      </x:c>
      <x:c r="M36" s="20" t="str"/>
      <x:c r="N36" s="20" t="str"/>
      <x:c r="O36" s="20" t="str">
        <x:v>PENDING</x:v>
      </x:c>
      <x:c r="P36" s="20" t="str">
        <x:v>PENDING</x:v>
      </x:c>
      <x:c r="Q36" s="20" t="str"/>
      <x:c r="R36" s="20" t="str">
        <x:v>[]</x:v>
      </x:c>
      <x:c r="S36" s="20" t="str"/>
      <x:c r="T36" s="20" t="str">
        <x:v>Reported segregating biallelic/dominant or confirmed de novo genotypes consistent with the target phenotype; source-specific details in cited primary studies.</x:v>
      </x:c>
      <x:c r="U36" s="20" t="str">
        <x:v>PENDING: record case-specific inheritance, segregating variants and source location</x:v>
      </x:c>
    </x:row>
    <x:row r="37" ht="130" customHeight="1">
      <x:c r="A37" s="20" t="str">
        <x:v>SCNM1</x:v>
      </x:c>
      <x:c r="B37" s="20" t="str">
        <x:v>HGNC:23136</x:v>
      </x:c>
      <x:c r="C37" s="20" t="str">
        <x:v>A</x:v>
      </x:c>
      <x:c r="D37" s="20" t="str">
        <x:v>2022-09-08</x:v>
      </x:c>
      <x:c r="E37" s="20" t="str">
        <x:v>["2022-01-01", "2022-09-08"]</x:v>
      </x:c>
      <x:c r="F37" s="20" t="str">
        <x:v>["primary_cilia"]</x:v>
      </x:c>
      <x:c r="G37" s="20" t="str">
        <x:v>2</x:v>
      </x:c>
      <x:c r="H37" s="20" t="str">
        <x:v>["36084634", "41291844"]</x:v>
      </x:c>
      <x:c r="I37" s="20" t="str">
        <x:v>["MED:36084634", "MED:41291844"]</x:v>
      </x:c>
      <x:c r="J37" s="20" t="str">
        <x:v>Three OFD families initially, four additional families later; minor intron splicing and cilia defects with rescue.</x:v>
      </x:c>
      <x:c r="K37" s="20" t="str">
        <x:v>Three OFD families initially, four additional families later; minor intron splicing and cilia defects with rescue.</x:v>
      </x:c>
      <x:c r="L37" s="20" t="str">
        <x:v>Three OFD families initially, four additional families later; minor intron splicing and cilia defects with rescue.</x:v>
      </x:c>
      <x:c r="M37" s="20" t="str"/>
      <x:c r="N37" s="20" t="str"/>
      <x:c r="O37" s="20" t="str">
        <x:v>PENDING</x:v>
      </x:c>
      <x:c r="P37" s="20" t="str">
        <x:v>PENDING</x:v>
      </x:c>
      <x:c r="Q37" s="20" t="str"/>
      <x:c r="R37" s="20" t="str">
        <x:v>[]</x:v>
      </x:c>
      <x:c r="S37" s="20" t="str"/>
      <x:c r="T37" s="20" t="str">
        <x:v>Reported segregating biallelic/dominant or confirmed de novo genotypes consistent with the target phenotype; source-specific details in cited primary studies.</x:v>
      </x:c>
      <x:c r="U37" s="20" t="str">
        <x:v>PENDING: record case-specific inheritance, segregating variants and source location</x:v>
      </x:c>
    </x:row>
    <x:row r="38" ht="130" customHeight="1">
      <x:c r="A38" s="20" t="str">
        <x:v>SLC66A1</x:v>
      </x:c>
      <x:c r="B38" s="20" t="str">
        <x:v>HGNC:26001</x:v>
      </x:c>
      <x:c r="C38" s="20" t="str">
        <x:v>A</x:v>
      </x:c>
      <x:c r="D38" s="20" t="str">
        <x:v>2022-04-29</x:v>
      </x:c>
      <x:c r="E38" s="20" t="str">
        <x:v>["2022-01-01", "2022-04-29"]</x:v>
      </x:c>
      <x:c r="F38" s="20" t="str">
        <x:v>["retinal"]</x:v>
      </x:c>
      <x:c r="G38" s="20" t="str">
        <x:v>5</x:v>
      </x:c>
      <x:c r="H38" s="20" t="str">
        <x:v>["35486108", "39669628"]</x:v>
      </x:c>
      <x:c r="I38" s="20" t="str">
        <x:v>["MED:35486108", "MED:39669628"]</x:v>
      </x:c>
      <x:c r="J38" s="20" t="str">
        <x:v>2022 two retinal families; independent 2024 report DOI10.1016/j.gimo.2024.101834 online2024-02-29 adds four families, three without the alternative homozygous SPATA7 diagnosis. Supporting 2026 Portuguese family not required. Multigene replication abstract omits symbol and was missed by gene-title/abstract search; catalog/fulltext review is essential.</x:v>
      </x:c>
      <x:c r="K38" s="20" t="str">
        <x:v>2022 two retinal families; independent 2024 report DOI10.1016/j.gimo.2024.101834 online2024-02-29 adds four families, three without the alternative homozygous SPATA7 diagnosis. Supporting 2026 Portuguese family not required. Multigene replication abstract omits symbol and was missed by gene-title/abstract search; catalog/fulltext review is essential.</x:v>
      </x:c>
      <x:c r="L38" s="20" t="str">
        <x:v>2022 two retinal families; independent 2024 report DOI10.1016/j.gimo.2024.101834 online2024-02-29 adds four families, three without the alternative homozygous SPATA7 diagnosis. Supporting 2026 Portuguese family not required. Multigene replication abstract omits symbol and was missed by gene-title/abstract search; catalog/fulltext review is essential.</x:v>
      </x:c>
      <x:c r="M38" s="20" t="str"/>
      <x:c r="N38" s="20" t="str"/>
      <x:c r="O38" s="20" t="str">
        <x:v>PENDING</x:v>
      </x:c>
      <x:c r="P38" s="20" t="str">
        <x:v>PENDING</x:v>
      </x:c>
      <x:c r="Q38" s="20" t="str"/>
      <x:c r="R38" s="20" t="str">
        <x:v>[]</x:v>
      </x:c>
      <x:c r="S38" s="20" t="str"/>
      <x:c r="T38" s="20" t="str">
        <x:v>Reported segregating biallelic/dominant or confirmed de novo genotypes consistent with the target phenotype; source-specific details in cited primary studies.</x:v>
      </x:c>
      <x:c r="U38" s="20" t="str">
        <x:v>PENDING: record case-specific inheritance, segregating variants and source location</x:v>
      </x:c>
    </x:row>
    <x:row r="39" ht="130" customHeight="1">
      <x:c r="A39" s="20" t="str">
        <x:v>SPATA5L1</x:v>
      </x:c>
      <x:c r="B39" s="20" t="str">
        <x:v>HGNC:28762</x:v>
      </x:c>
      <x:c r="C39" s="20" t="str">
        <x:v>A</x:v>
      </x:c>
      <x:c r="D39" s="20" t="str">
        <x:v>2021-10-07</x:v>
      </x:c>
      <x:c r="E39" s="20" t="str">
        <x:v>["2021-01-01", "2021-10-07"]</x:v>
      </x:c>
      <x:c r="F39" s="20" t="str">
        <x:v>["hearing"]</x:v>
      </x:c>
      <x:c r="G39" s="20" t="str">
        <x:v>2</x:v>
      </x:c>
      <x:c r="H39" s="20" t="str">
        <x:v>["34626583", "37902276"]</x:v>
      </x:c>
      <x:c r="I39" s="20" t="str">
        <x:v>["MED:34626583", "MED:37902276"]</x:v>
      </x:c>
      <x:c r="J39" s="20" t="str">
        <x:v>47 individuals in 26 unrelated families; hearing/neurodevelopmental phenotype.</x:v>
      </x:c>
      <x:c r="K39" s="20" t="str"/>
      <x:c r="L39" s="20" t="str">
        <x:v>47 individuals in 26 unrelated families; hearing/neurodevelopmental phenotype.</x:v>
      </x:c>
      <x:c r="M39" s="20" t="str"/>
      <x:c r="N39" s="20" t="str"/>
      <x:c r="O39" s="20" t="str">
        <x:v>PENDING</x:v>
      </x:c>
      <x:c r="P39" s="20" t="str">
        <x:v>PENDING</x:v>
      </x:c>
      <x:c r="Q39" s="20" t="str"/>
      <x:c r="R39" s="20" t="str">
        <x:v>["37902276"]</x:v>
      </x:c>
      <x:c r="S39" s="20" t="str">
        <x:v>New girl with sensorineural hearing loss, compound heterozygous AFG2B variants in 2023 report; not the preprint family solely counted twice.</x:v>
      </x:c>
      <x:c r="T39" s="20" t="str">
        <x:v>Reported segregating biallelic/dominant or confirmed de novo genotypes consistent with the target phenotype; source-specific details in cited primary studies.</x:v>
      </x:c>
      <x:c r="U39" s="20" t="str">
        <x:v>PENDING: record case-specific inheritance, segregating variants and source location</x:v>
      </x:c>
    </x:row>
    <x:row r="40" ht="130" customHeight="1">
      <x:c r="A40" s="20" t="str">
        <x:v>STX3</x:v>
      </x:c>
      <x:c r="B40" s="20" t="str">
        <x:v>HGNC:11438</x:v>
      </x:c>
      <x:c r="C40" s="20" t="str">
        <x:v>B</x:v>
      </x:c>
      <x:c r="D40" s="20" t="str">
        <x:v>2021-05-11</x:v>
      </x:c>
      <x:c r="E40" s="20" t="str">
        <x:v>["2021-01-01", "2021-05-11"]</x:v>
      </x:c>
      <x:c r="F40" s="20" t="str">
        <x:v>["retinal"]</x:v>
      </x:c>
      <x:c r="G40" s="20" t="str">
        <x:v>6</x:v>
      </x:c>
      <x:c r="H40" s="20" t="str">
        <x:v>["33974130"]</x:v>
      </x:c>
      <x:c r="I40" s="20" t="str">
        <x:v>["MED:33974130"]</x:v>
      </x:c>
      <x:c r="J40" s="20" t="str">
        <x:v>Prior microvillus inclusion disease and proposed congenital cataract association; 2021 retinal dystrophy cohort and photoreceptor-specific knockout.</x:v>
      </x:c>
      <x:c r="K40" s="20" t="str">
        <x:v>Prior microvillus inclusion disease and proposed congenital cataract association; 2021 retinal dystrophy cohort and photoreceptor-specific knockout.</x:v>
      </x:c>
      <x:c r="L40" s="20" t="str">
        <x:v>Prior microvillus inclusion disease and proposed congenital cataract association; 2021 retinal dystrophy cohort and photoreceptor-specific knockout.</x:v>
      </x:c>
      <x:c r="M40" s="20" t="str"/>
      <x:c r="N40" s="20" t="str"/>
      <x:c r="O40" s="20" t="str">
        <x:v>PENDING</x:v>
      </x:c>
      <x:c r="P40" s="20" t="str">
        <x:v>PENDING</x:v>
      </x:c>
      <x:c r="Q40" s="20" t="str"/>
      <x:c r="R40" s="20" t="str">
        <x:v>[]</x:v>
      </x:c>
      <x:c r="S40" s="20" t="str"/>
      <x:c r="T40" s="20" t="str">
        <x:v>Reported segregating biallelic/dominant or confirmed de novo genotypes consistent with the target phenotype; source-specific details in cited primary studies.</x:v>
      </x:c>
      <x:c r="U40" s="20" t="str">
        <x:v>PENDING: record case-specific inheritance, segregating variants and source location</x:v>
      </x:c>
    </x:row>
    <x:row r="41" ht="130" customHeight="1">
      <x:c r="A41" s="20" t="str">
        <x:v>TMEM72</x:v>
      </x:c>
      <x:c r="B41" s="20" t="str">
        <x:v>HGNC:31658</x:v>
      </x:c>
      <x:c r="C41" s="20" t="str">
        <x:v>A</x:v>
      </x:c>
      <x:c r="D41" s="20" t="str">
        <x:v>2021-08-31</x:v>
      </x:c>
      <x:c r="E41" s="20" t="str">
        <x:v>["2021-01-01", "2022-04-30"]</x:v>
      </x:c>
      <x:c r="F41" s="20" t="str">
        <x:v>["primary_cilia"]</x:v>
      </x:c>
      <x:c r="G41" s="20" t="str">
        <x:v>5</x:v>
      </x:c>
      <x:c r="H41" s="20" t="str">
        <x:v>["41308066"]</x:v>
      </x:c>
      <x:c r="I41" s="20" t="str">
        <x:v>["MED:41308066"]</x:v>
      </x:c>
      <x:c r="J41" s="20" t="str">
        <x:v>Five coreNPHP-likefamilies, sixthprenatalrenal/neurodifferent. PatientkidneyIF showsabnormallocalization/reducedprotein comparedhealthy,CKD andheterozygousparent controls, qualifies patient-cell moleculardefectcriterion. Healthycilialocalization alone notproof; zfishKO no renalphenotype; no ciliaryrescueclaim.</x:v>
      </x:c>
      <x:c r="K41" s="20" t="str">
        <x:v>Five coreNPHP-likefamilies, sixthprenatalrenal/neurodifferent. PatientkidneyIF showsabnormallocalization/reducedprotein comparedhealthy,CKD andheterozygousparent controls, qualifies patient-cell moleculardefectcriterion. Healthycilialocalization alone notproof; zfishKO no renalphenotype; no ciliaryrescueclaim.</x:v>
      </x:c>
      <x:c r="L41" s="20" t="str">
        <x:v>Five coreNPHP-likefamilies, sixthprenatalrenal/neurodifferent. PatientkidneyIF showsabnormallocalization/reducedprotein comparedhealthy,CKD andheterozygousparent controls, qualifies patient-cell moleculardefectcriterion. Healthycilialocalization alone notproof; zfishKO no renalphenotype; no ciliaryrescueclaim.</x:v>
      </x:c>
      <x:c r="M41" s="20" t="str"/>
      <x:c r="N41" s="20" t="str"/>
      <x:c r="O41" s="20" t="str">
        <x:v>PENDING</x:v>
      </x:c>
      <x:c r="P41" s="20" t="str">
        <x:v>PENDING</x:v>
      </x:c>
      <x:c r="Q41" s="20" t="str"/>
      <x:c r="R41" s="20" t="str">
        <x:v>[]</x:v>
      </x:c>
      <x:c r="S41" s="20" t="str"/>
      <x:c r="T41" s="20" t="str">
        <x:v>Reported segregating biallelic/dominant or confirmed de novo genotypes consistent with the target phenotype; source-specific details in cited primary studies.</x:v>
      </x:c>
      <x:c r="U41" s="20" t="str">
        <x:v>PENDING: record case-specific inheritance, segregating variants and source location</x:v>
      </x:c>
    </x:row>
    <x:row r="42" ht="130" customHeight="1">
      <x:c r="A42" s="20" t="str">
        <x:v>TP73</x:v>
      </x:c>
      <x:c r="B42" s="20" t="str">
        <x:v>HGNC:12003</x:v>
      </x:c>
      <x:c r="C42" s="20" t="str">
        <x:v>A</x:v>
      </x:c>
      <x:c r="D42" s="20" t="str">
        <x:v>2021-06-01</x:v>
      </x:c>
      <x:c r="E42" s="20" t="str">
        <x:v>["2021-01-01", "2021-06-01"]</x:v>
      </x:c>
      <x:c r="F42" s="20" t="str">
        <x:v>["motile_cilia"]</x:v>
      </x:c>
      <x:c r="G42" s="20" t="str">
        <x:v>2</x:v>
      </x:c>
      <x:c r="H42" s="20" t="str">
        <x:v>["34077761"]</x:v>
      </x:c>
      <x:c r="I42" s="20" t="str">
        <x:v>["MED:34077761"]</x:v>
      </x:c>
      <x:c r="J42" s="20" t="str">
        <x:v>Seven affected individuals in five unrelated families; patient airway multiciliogenesis/ultrastructure assays. Older cancer/risk reports are not germline Mendelian disease claims.</x:v>
      </x:c>
      <x:c r="K42" s="20" t="str">
        <x:v>Seven affected individuals in five unrelated families; patient airway multiciliogenesis/ultrastructure assays. Older cancer/risk reports are not germline Mendelian disease claims.</x:v>
      </x:c>
      <x:c r="L42" s="20" t="str">
        <x:v>Seven affected individuals in five unrelated families; patient airway multiciliogenesis/ultrastructure assays. Older cancer/risk reports are not germline Mendelian disease claims.</x:v>
      </x:c>
      <x:c r="M42" s="20" t="str"/>
      <x:c r="N42" s="20" t="str"/>
      <x:c r="O42" s="20" t="str">
        <x:v>PENDING</x:v>
      </x:c>
      <x:c r="P42" s="20" t="str">
        <x:v>PENDING</x:v>
      </x:c>
      <x:c r="Q42" s="20" t="str"/>
      <x:c r="R42" s="20" t="str">
        <x:v>[]</x:v>
      </x:c>
      <x:c r="S42" s="20" t="str"/>
      <x:c r="T42" s="20" t="str">
        <x:v>Reported segregating biallelic/dominant or confirmed de novo genotypes consistent with the target phenotype; source-specific details in cited primary studies.</x:v>
      </x:c>
      <x:c r="U42" s="20" t="str">
        <x:v>PENDING: record case-specific inheritance, segregating variants and source location</x:v>
      </x:c>
    </x:row>
    <x:row r="43" ht="130" customHeight="1">
      <x:c r="A43" s="20" t="str">
        <x:v>UBAP1L</x:v>
      </x:c>
      <x:c r="B43" s="20" t="str">
        <x:v>HGNC:40028</x:v>
      </x:c>
      <x:c r="C43" s="20" t="str">
        <x:v>A</x:v>
      </x:c>
      <x:c r="D43" s="20" t="str">
        <x:v>2024-01-28</x:v>
      </x:c>
      <x:c r="E43" s="20" t="str">
        <x:v>["2024-01-01", "2024-01-28"]</x:v>
      </x:c>
      <x:c r="F43" s="20" t="str">
        <x:v>["retinal"]</x:v>
      </x:c>
      <x:c r="G43" s="20" t="str">
        <x:v>2</x:v>
      </x:c>
      <x:c r="H43" s="20" t="str">
        <x:v>["38293907"]</x:v>
      </x:c>
      <x:c r="I43" s="20" t="str">
        <x:v>["MED:38293907"]</x:v>
      </x:c>
      <x:c r="J43" s="20" t="str">
        <x:v>Four independent recessive retinal cases; retinal organoid/in vitro evidence for truncated ubiquitin-binding domain.</x:v>
      </x:c>
      <x:c r="K43" s="20" t="str">
        <x:v>Four independent recessive retinal cases; retinal organoid/in vitro evidence for truncated ubiquitin-binding domain.</x:v>
      </x:c>
      <x:c r="L43" s="20" t="str">
        <x:v>Four independent recessive retinal cases; retinal organoid/in vitro evidence for truncated ubiquitin-binding domain.</x:v>
      </x:c>
      <x:c r="M43" s="20" t="str"/>
      <x:c r="N43" s="20" t="str"/>
      <x:c r="O43" s="20" t="str">
        <x:v>PENDING</x:v>
      </x:c>
      <x:c r="P43" s="20" t="str">
        <x:v>PENDING</x:v>
      </x:c>
      <x:c r="Q43" s="20" t="str"/>
      <x:c r="R43" s="20" t="str">
        <x:v>[]</x:v>
      </x:c>
      <x:c r="S43" s="20" t="str"/>
      <x:c r="T43" s="20" t="str">
        <x:v>Reported segregating biallelic/dominant or confirmed de novo genotypes consistent with the target phenotype; source-specific details in cited primary studies.</x:v>
      </x:c>
      <x:c r="U43" s="20" t="str">
        <x:v>PENDING: record case-specific inheritance, segregating variants and source location</x:v>
      </x:c>
    </x:row>
    <x:row r="44" ht="130" customHeight="1">
      <x:c r="A44" s="20" t="str">
        <x:v>USP48</x:v>
      </x:c>
      <x:c r="B44" s="20" t="str">
        <x:v>HGNC:18533</x:v>
      </x:c>
      <x:c r="C44" s="20" t="str">
        <x:v>A</x:v>
      </x:c>
      <x:c r="D44" s="20" t="str">
        <x:v>2021-05-31</x:v>
      </x:c>
      <x:c r="E44" s="20" t="str">
        <x:v>["2021-01-01", "2021-05-31"]</x:v>
      </x:c>
      <x:c r="F44" s="20" t="str">
        <x:v>["hearing"]</x:v>
      </x:c>
      <x:c r="G44" s="20" t="str">
        <x:v>2</x:v>
      </x:c>
      <x:c r="H44" s="20" t="str">
        <x:v>["34059922"]</x:v>
      </x:c>
      <x:c r="I44" s="20" t="str">
        <x:v>["MED:34059922"]</x:v>
      </x:c>
      <x:c r="J44" s="20" t="str">
        <x:v>Large family plus unrelated inherited and de novo cases; ubiquitin hydrolase activity assays.</x:v>
      </x:c>
      <x:c r="K44" s="20" t="str">
        <x:v>Large family plus unrelated inherited and de novo cases; ubiquitin hydrolase activity assays.</x:v>
      </x:c>
      <x:c r="L44" s="20" t="str">
        <x:v>Large family plus unrelated inherited and de novo cases; ubiquitin hydrolase activity assays.</x:v>
      </x:c>
      <x:c r="M44" s="20" t="str"/>
      <x:c r="N44" s="20" t="str"/>
      <x:c r="O44" s="20" t="str">
        <x:v>PENDING</x:v>
      </x:c>
      <x:c r="P44" s="20" t="str">
        <x:v>PENDING</x:v>
      </x:c>
      <x:c r="Q44" s="20" t="str"/>
      <x:c r="R44" s="20" t="str">
        <x:v>[]</x:v>
      </x:c>
      <x:c r="S44" s="20" t="str"/>
      <x:c r="T44" s="20" t="str">
        <x:v>Reported segregating biallelic/dominant or confirmed de novo genotypes consistent with the target phenotype; source-specific details in cited primary studies.</x:v>
      </x:c>
      <x:c r="U44" s="20" t="str">
        <x:v>PENDING: record case-specific inheritance, segregating variants and source location</x:v>
      </x:c>
    </x:row>
    <x:row r="45" ht="130" customHeight="1">
      <x:c r="A45" s="20" t="str">
        <x:v>VWA8</x:v>
      </x:c>
      <x:c r="B45" s="20" t="str">
        <x:v>HGNC:29071</x:v>
      </x:c>
      <x:c r="C45" s="20" t="str">
        <x:v>B</x:v>
      </x:c>
      <x:c r="D45" s="20" t="str">
        <x:v>2023-04-03</x:v>
      </x:c>
      <x:c r="E45" s="20" t="str">
        <x:v>["2023-01-01", "2023-04-03"]</x:v>
      </x:c>
      <x:c r="F45" s="20" t="str">
        <x:v>["retinal"]</x:v>
      </x:c>
      <x:c r="G45" s="20" t="str">
        <x:v>2</x:v>
      </x:c>
      <x:c r="H45" s="20" t="str">
        <x:v>["34660594", "37012052", "40638000"]</x:v>
      </x:c>
      <x:c r="I45" s="20" t="str">
        <x:v>["MED:34660594", "MED:37012052", "MED:40638000"]</x:v>
      </x:c>
      <x:c r="J45" s="20" t="str">
        <x:v>2023 Chinese dominant RP pedigree with variant reduction, zebrafish perturbation and mitophagy assays; independent Mexican RP family2025. Prior2021 neurodevelopmental association is non-target and must be separately cited.</x:v>
      </x:c>
      <x:c r="K45" s="20" t="str">
        <x:v>2023 Chinese dominant RP pedigree with variant reduction, zebrafish perturbation and mitophagy assays; independent Mexican RP family2025. Prior2021 neurodevelopmental association is non-target and must be separately cited.</x:v>
      </x:c>
      <x:c r="L45" s="20" t="str">
        <x:v>2023 Chinese dominant RP pedigree with variant reduction, zebrafish perturbation and mitophagy assays; independent Mexican RP family2025. Prior2021 neurodevelopmental association is non-target and must be separately cited.</x:v>
      </x:c>
      <x:c r="M45" s="20" t="str"/>
      <x:c r="N45" s="20" t="str"/>
      <x:c r="O45" s="20" t="str">
        <x:v>PENDING</x:v>
      </x:c>
      <x:c r="P45" s="20" t="str">
        <x:v>PENDING</x:v>
      </x:c>
      <x:c r="Q45" s="20" t="str"/>
      <x:c r="R45" s="20" t="str">
        <x:v>[]</x:v>
      </x:c>
      <x:c r="S45" s="20" t="str"/>
      <x:c r="T45" s="20" t="str">
        <x:v>Reported segregating biallelic/dominant or confirmed de novo genotypes consistent with the target phenotype; source-specific details in cited primary studies.</x:v>
      </x:c>
      <x:c r="U45" s="20" t="str">
        <x:v>PENDING: record case-specific inheritance, segregating variants and source location</x:v>
      </x:c>
    </x:row>
    <x:row r="46" ht="130" customHeight="1">
      <x:c r="A46" s="20" t="str">
        <x:v>XXYLT1</x:v>
      </x:c>
      <x:c r="B46" s="20" t="str">
        <x:v>HGNC:26639</x:v>
      </x:c>
      <x:c r="C46" s="20" t="str">
        <x:v>A</x:v>
      </x:c>
      <x:c r="D46" s="20" t="str">
        <x:v>2026-07-30</x:v>
      </x:c>
      <x:c r="E46" s="20" t="str">
        <x:v>["2026-01-01", "2026-07-30"]</x:v>
      </x:c>
      <x:c r="F46" s="20" t="str">
        <x:v>["retinal"]</x:v>
      </x:c>
      <x:c r="G46" s="20" t="str">
        <x:v>2</x:v>
      </x:c>
      <x:c r="H46" s="20" t="str">
        <x:v>["42530953"]</x:v>
      </x:c>
      <x:c r="I46" s="20" t="str">
        <x:v>["MED:42530953"]</x:v>
      </x:c>
      <x:c r="J46" s="20" t="str">
        <x:v>Clinical replication in at least four Finnish and two UK families after GWAS; splice defect demonstrated experimentally. This is supported Mendelian association, not GWAS-only evidence.</x:v>
      </x:c>
      <x:c r="K46" s="20" t="str">
        <x:v>Clinical replication in at least four Finnish and two UK families after GWAS; splice defect demonstrated experimentally. This is supported Mendelian association, not GWAS-only evidence.</x:v>
      </x:c>
      <x:c r="L46" s="20" t="str">
        <x:v>Clinical replication in at least four Finnish and two UK families after GWAS; splice defect demonstrated experimentally. This is supported Mendelian association, not GWAS-only evidence.</x:v>
      </x:c>
      <x:c r="M46" s="20" t="str"/>
      <x:c r="N46" s="20" t="str"/>
      <x:c r="O46" s="20" t="str">
        <x:v>PENDING</x:v>
      </x:c>
      <x:c r="P46" s="20" t="str">
        <x:v>PENDING</x:v>
      </x:c>
      <x:c r="Q46" s="20" t="str"/>
      <x:c r="R46" s="20" t="str">
        <x:v>[]</x:v>
      </x:c>
      <x:c r="S46" s="20" t="str"/>
      <x:c r="T46" s="20" t="str">
        <x:v>Reported segregating biallelic/dominant or confirmed de novo genotypes consistent with the target phenotype; source-specific details in cited primary studies.</x:v>
      </x:c>
      <x:c r="U46" s="20" t="str">
        <x:v>PENDING: record case-specific inheritance, segregating variants and source location</x:v>
      </x:c>
    </x:row>
  </x:sheetData>
  <x:pageMargins left="0.7" right="0.7" top="0.75" bottom="0.75" header="0.3" footer="0.3"/>
  <x:tableParts count="1">
    <x:tablePart xmlns:r="http://schemas.openxmlformats.org/officeDocument/2006/relationships" r:id="R5a1857b54f2c4bd0"/>
  </x:tableParts>
</x:worksheet>
</file>